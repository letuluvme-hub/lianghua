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汇总" sheetId="1" state="visible" r:id="rId3"/>
    <sheet name="价格数据" sheetId="2" state="visible" r:id="rId4"/>
    <sheet name="说明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<sst xmlns="http://schemas.openxmlformats.org/spreadsheetml/2006/main" count="133" uniqueCount="113">
  <si>
    <r>
      <rPr>
        <b val="true"/>
        <sz val="13"/>
        <color rgb="FFFFFFFF"/>
        <rFont val="Arial"/>
        <family val="0"/>
        <charset val="1"/>
      </rPr>
      <t xml:space="preserve">PCB</t>
    </r>
    <r>
      <rPr>
        <b val="true"/>
        <sz val="13"/>
        <color rgb="FFFFFFFF"/>
        <rFont val="Noto Sans CJK SC"/>
        <family val="2"/>
      </rPr>
      <t xml:space="preserve">概念股 — 流通市值前</t>
    </r>
    <r>
      <rPr>
        <b val="true"/>
        <sz val="13"/>
        <color rgb="FFFFFFFF"/>
        <rFont val="Arial"/>
        <family val="0"/>
        <charset val="1"/>
      </rPr>
      <t xml:space="preserve">20 — 20</t>
    </r>
    <r>
      <rPr>
        <b val="true"/>
        <sz val="13"/>
        <color rgb="FFFFFFFF"/>
        <rFont val="Noto Sans CJK SC"/>
        <family val="2"/>
      </rPr>
      <t xml:space="preserve">日布林带 </t>
    </r>
    <r>
      <rPr>
        <b val="true"/>
        <sz val="13"/>
        <color rgb="FFFFFFFF"/>
        <rFont val="Arial"/>
        <family val="0"/>
        <charset val="1"/>
      </rPr>
      <t xml:space="preserve">(BOLL, N=20, K=2)</t>
    </r>
  </si>
  <si>
    <t xml:space="preserve">排名</t>
  </si>
  <si>
    <t xml:space="preserve">股票代码</t>
  </si>
  <si>
    <t xml:space="preserve">股票名称</t>
  </si>
  <si>
    <r>
      <rPr>
        <b val="true"/>
        <sz val="11"/>
        <color rgb="FFFFFFFF"/>
        <rFont val="Noto Sans CJK SC"/>
        <family val="2"/>
      </rPr>
      <t xml:space="preserve">流通市值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亿元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</si>
  <si>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数据日期</t>
  </si>
  <si>
    <t xml:space="preserve">最新收盘价</t>
  </si>
  <si>
    <r>
      <rPr>
        <b val="true"/>
        <sz val="11"/>
        <color rgb="FFFFFFFF"/>
        <rFont val="Arial"/>
        <family val="0"/>
        <charset val="1"/>
      </rPr>
      <t xml:space="preserve">MA20 (</t>
    </r>
    <r>
      <rPr>
        <b val="true"/>
        <sz val="11"/>
        <color rgb="FFFFFFFF"/>
        <rFont val="Noto Sans CJK SC"/>
        <family val="2"/>
      </rPr>
      <t xml:space="preserve">中线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</si>
  <si>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STD20 (</t>
    </r>
    <r>
      <rPr>
        <b val="true"/>
        <sz val="11"/>
        <color rgb="FFFFFFFF"/>
        <rFont val="Noto Sans CJK SC"/>
        <family val="2"/>
      </rPr>
      <t xml:space="preserve">总体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</si>
  <si>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布林上轨 </t>
    </r>
    <r>
      <rPr>
        <b val="true"/>
        <sz val="11"/>
        <color rgb="FFFFFFFF"/>
        <rFont val="Arial"/>
        <family val="0"/>
        <charset val="1"/>
      </rPr>
      <t xml:space="preserve">UP</t>
    </r>
  </si>
  <si>
    <r>
      <rPr>
        <b val="true"/>
        <sz val="11"/>
        <color rgb="FFFFFFFF"/>
        <rFont val="Noto Sans CJK SC"/>
        <family val="2"/>
      </rPr>
      <t xml:space="preserve">布林下轨 </t>
    </r>
    <r>
      <rPr>
        <b val="true"/>
        <sz val="11"/>
        <color rgb="FFFFFFFF"/>
        <rFont val="Arial"/>
        <family val="0"/>
        <charset val="1"/>
      </rPr>
      <t xml:space="preserve">DN</t>
    </r>
  </si>
  <si>
    <r>
      <rPr>
        <b val="true"/>
        <sz val="11"/>
        <color rgb="FFFFFFFF"/>
        <rFont val="Noto Sans CJK SC"/>
        <family val="2"/>
      </rPr>
      <t xml:space="preserve">带宽 </t>
    </r>
    <r>
      <rPr>
        <b val="true"/>
        <sz val="11"/>
        <color rgb="FFFFFFFF"/>
        <rFont val="Arial"/>
        <family val="0"/>
        <charset val="1"/>
      </rPr>
      <t xml:space="preserve">(UP-DN)</t>
    </r>
  </si>
  <si>
    <t xml:space="preserve">%B</t>
  </si>
  <si>
    <t xml:space="preserve">sh600183</t>
  </si>
  <si>
    <t xml:space="preserve">生益科技</t>
  </si>
  <si>
    <t xml:space="preserve">2026-06-18</t>
  </si>
  <si>
    <t xml:space="preserve">sz002384</t>
  </si>
  <si>
    <t xml:space="preserve">东山精密</t>
  </si>
  <si>
    <t xml:space="preserve">sz300476</t>
  </si>
  <si>
    <t xml:space="preserve">胜宏科技</t>
  </si>
  <si>
    <t xml:space="preserve">sz002916</t>
  </si>
  <si>
    <t xml:space="preserve">深南电路</t>
  </si>
  <si>
    <t xml:space="preserve">sz002463</t>
  </si>
  <si>
    <t xml:space="preserve">沪电股份</t>
  </si>
  <si>
    <t xml:space="preserve">sz002938</t>
  </si>
  <si>
    <t xml:space="preserve">鹏鼎控股</t>
  </si>
  <si>
    <t xml:space="preserve">sh603256</t>
  </si>
  <si>
    <t xml:space="preserve">宏和科技</t>
  </si>
  <si>
    <t xml:space="preserve">sh600176</t>
  </si>
  <si>
    <t xml:space="preserve">中国巨石</t>
  </si>
  <si>
    <t xml:space="preserve">sz301217</t>
  </si>
  <si>
    <t xml:space="preserve">铜冠铜箔</t>
  </si>
  <si>
    <t xml:space="preserve">sz301200</t>
  </si>
  <si>
    <t xml:space="preserve">大族数控</t>
  </si>
  <si>
    <t xml:space="preserve">sz000657</t>
  </si>
  <si>
    <t xml:space="preserve">中钨高新</t>
  </si>
  <si>
    <t xml:space="preserve">sz002080</t>
  </si>
  <si>
    <t xml:space="preserve">中材科技</t>
  </si>
  <si>
    <t xml:space="preserve">sz002008</t>
  </si>
  <si>
    <t xml:space="preserve">大族激光</t>
  </si>
  <si>
    <t xml:space="preserve">sh688183</t>
  </si>
  <si>
    <t xml:space="preserve">生益电子</t>
  </si>
  <si>
    <t xml:space="preserve">sh688519</t>
  </si>
  <si>
    <t xml:space="preserve">南亚新材</t>
  </si>
  <si>
    <t xml:space="preserve">sh603228</t>
  </si>
  <si>
    <t xml:space="preserve">景旺电子</t>
  </si>
  <si>
    <t xml:space="preserve">sz002436</t>
  </si>
  <si>
    <t xml:space="preserve">兴森科技</t>
  </si>
  <si>
    <t xml:space="preserve">sz002636</t>
  </si>
  <si>
    <t xml:space="preserve">金安国纪</t>
  </si>
  <si>
    <t xml:space="preserve">sh601208</t>
  </si>
  <si>
    <t xml:space="preserve">东材科技</t>
  </si>
  <si>
    <t xml:space="preserve">sz300395</t>
  </si>
  <si>
    <t xml:space="preserve">菲利华</t>
  </si>
  <si>
    <t xml:space="preserve">交易日期</t>
  </si>
  <si>
    <r>
      <rPr>
        <b val="true"/>
        <sz val="11"/>
        <color rgb="FFFFFFFF"/>
        <rFont val="Noto Sans CJK SC"/>
        <family val="2"/>
      </rPr>
      <t xml:space="preserve">生益科技
</t>
    </r>
    <r>
      <rPr>
        <b val="true"/>
        <sz val="11"/>
        <color rgb="FFFFFFFF"/>
        <rFont val="Arial"/>
        <family val="0"/>
        <charset val="1"/>
      </rPr>
      <t xml:space="preserve">sh600183</t>
    </r>
  </si>
  <si>
    <r>
      <rPr>
        <b val="true"/>
        <sz val="11"/>
        <color rgb="FFFFFFFF"/>
        <rFont val="Noto Sans CJK SC"/>
        <family val="2"/>
      </rPr>
      <t xml:space="preserve">东山精密
</t>
    </r>
    <r>
      <rPr>
        <b val="true"/>
        <sz val="11"/>
        <color rgb="FFFFFFFF"/>
        <rFont val="Arial"/>
        <family val="0"/>
        <charset val="1"/>
      </rPr>
      <t xml:space="preserve">sz002384</t>
    </r>
  </si>
  <si>
    <r>
      <rPr>
        <b val="true"/>
        <sz val="11"/>
        <color rgb="FFFFFFFF"/>
        <rFont val="Noto Sans CJK SC"/>
        <family val="2"/>
      </rPr>
      <t xml:space="preserve">胜宏科技
</t>
    </r>
    <r>
      <rPr>
        <b val="true"/>
        <sz val="11"/>
        <color rgb="FFFFFFFF"/>
        <rFont val="Arial"/>
        <family val="0"/>
        <charset val="1"/>
      </rPr>
      <t xml:space="preserve">sz300476</t>
    </r>
  </si>
  <si>
    <r>
      <rPr>
        <b val="true"/>
        <sz val="11"/>
        <color rgb="FFFFFFFF"/>
        <rFont val="Noto Sans CJK SC"/>
        <family val="2"/>
      </rPr>
      <t xml:space="preserve">深南电路
</t>
    </r>
    <r>
      <rPr>
        <b val="true"/>
        <sz val="11"/>
        <color rgb="FFFFFFFF"/>
        <rFont val="Arial"/>
        <family val="0"/>
        <charset val="1"/>
      </rPr>
      <t xml:space="preserve">sz002916</t>
    </r>
  </si>
  <si>
    <r>
      <rPr>
        <b val="true"/>
        <sz val="11"/>
        <color rgb="FFFFFFFF"/>
        <rFont val="Noto Sans CJK SC"/>
        <family val="2"/>
      </rPr>
      <t xml:space="preserve">沪电股份
</t>
    </r>
    <r>
      <rPr>
        <b val="true"/>
        <sz val="11"/>
        <color rgb="FFFFFFFF"/>
        <rFont val="Arial"/>
        <family val="0"/>
        <charset val="1"/>
      </rPr>
      <t xml:space="preserve">sz002463</t>
    </r>
  </si>
  <si>
    <r>
      <rPr>
        <b val="true"/>
        <sz val="11"/>
        <color rgb="FFFFFFFF"/>
        <rFont val="Noto Sans CJK SC"/>
        <family val="2"/>
      </rPr>
      <t xml:space="preserve">鹏鼎控股
</t>
    </r>
    <r>
      <rPr>
        <b val="true"/>
        <sz val="11"/>
        <color rgb="FFFFFFFF"/>
        <rFont val="Arial"/>
        <family val="0"/>
        <charset val="1"/>
      </rPr>
      <t xml:space="preserve">sz002938</t>
    </r>
  </si>
  <si>
    <r>
      <rPr>
        <b val="true"/>
        <sz val="11"/>
        <color rgb="FFFFFFFF"/>
        <rFont val="Noto Sans CJK SC"/>
        <family val="2"/>
      </rPr>
      <t xml:space="preserve">宏和科技
</t>
    </r>
    <r>
      <rPr>
        <b val="true"/>
        <sz val="11"/>
        <color rgb="FFFFFFFF"/>
        <rFont val="Arial"/>
        <family val="0"/>
        <charset val="1"/>
      </rPr>
      <t xml:space="preserve">sh603256</t>
    </r>
  </si>
  <si>
    <r>
      <rPr>
        <b val="true"/>
        <sz val="11"/>
        <color rgb="FFFFFFFF"/>
        <rFont val="Noto Sans CJK SC"/>
        <family val="2"/>
      </rPr>
      <t xml:space="preserve">中国巨石
</t>
    </r>
    <r>
      <rPr>
        <b val="true"/>
        <sz val="11"/>
        <color rgb="FFFFFFFF"/>
        <rFont val="Arial"/>
        <family val="0"/>
        <charset val="1"/>
      </rPr>
      <t xml:space="preserve">sh600176</t>
    </r>
  </si>
  <si>
    <r>
      <rPr>
        <b val="true"/>
        <sz val="11"/>
        <color rgb="FFFFFFFF"/>
        <rFont val="Noto Sans CJK SC"/>
        <family val="2"/>
      </rPr>
      <t xml:space="preserve">铜冠铜箔
</t>
    </r>
    <r>
      <rPr>
        <b val="true"/>
        <sz val="11"/>
        <color rgb="FFFFFFFF"/>
        <rFont val="Arial"/>
        <family val="0"/>
        <charset val="1"/>
      </rPr>
      <t xml:space="preserve">sz301217</t>
    </r>
  </si>
  <si>
    <r>
      <rPr>
        <b val="true"/>
        <sz val="11"/>
        <color rgb="FFFFFFFF"/>
        <rFont val="Noto Sans CJK SC"/>
        <family val="2"/>
      </rPr>
      <t xml:space="preserve">大族数控
</t>
    </r>
    <r>
      <rPr>
        <b val="true"/>
        <sz val="11"/>
        <color rgb="FFFFFFFF"/>
        <rFont val="Arial"/>
        <family val="0"/>
        <charset val="1"/>
      </rPr>
      <t xml:space="preserve">sz301200</t>
    </r>
  </si>
  <si>
    <r>
      <rPr>
        <b val="true"/>
        <sz val="11"/>
        <color rgb="FFFFFFFF"/>
        <rFont val="Noto Sans CJK SC"/>
        <family val="2"/>
      </rPr>
      <t xml:space="preserve">中钨高新
</t>
    </r>
    <r>
      <rPr>
        <b val="true"/>
        <sz val="11"/>
        <color rgb="FFFFFFFF"/>
        <rFont val="Arial"/>
        <family val="0"/>
        <charset val="1"/>
      </rPr>
      <t xml:space="preserve">sz000657</t>
    </r>
  </si>
  <si>
    <r>
      <rPr>
        <b val="true"/>
        <sz val="11"/>
        <color rgb="FFFFFFFF"/>
        <rFont val="Noto Sans CJK SC"/>
        <family val="2"/>
      </rPr>
      <t xml:space="preserve">中材科技
</t>
    </r>
    <r>
      <rPr>
        <b val="true"/>
        <sz val="11"/>
        <color rgb="FFFFFFFF"/>
        <rFont val="Arial"/>
        <family val="0"/>
        <charset val="1"/>
      </rPr>
      <t xml:space="preserve">sz002080</t>
    </r>
  </si>
  <si>
    <r>
      <rPr>
        <b val="true"/>
        <sz val="11"/>
        <color rgb="FFFFFFFF"/>
        <rFont val="Noto Sans CJK SC"/>
        <family val="2"/>
      </rPr>
      <t xml:space="preserve">大族激光
</t>
    </r>
    <r>
      <rPr>
        <b val="true"/>
        <sz val="11"/>
        <color rgb="FFFFFFFF"/>
        <rFont val="Arial"/>
        <family val="0"/>
        <charset val="1"/>
      </rPr>
      <t xml:space="preserve">sz002008</t>
    </r>
  </si>
  <si>
    <r>
      <rPr>
        <b val="true"/>
        <sz val="11"/>
        <color rgb="FFFFFFFF"/>
        <rFont val="Noto Sans CJK SC"/>
        <family val="2"/>
      </rPr>
      <t xml:space="preserve">生益电子
</t>
    </r>
    <r>
      <rPr>
        <b val="true"/>
        <sz val="11"/>
        <color rgb="FFFFFFFF"/>
        <rFont val="Arial"/>
        <family val="0"/>
        <charset val="1"/>
      </rPr>
      <t xml:space="preserve">sh688183</t>
    </r>
  </si>
  <si>
    <r>
      <rPr>
        <b val="true"/>
        <sz val="11"/>
        <color rgb="FFFFFFFF"/>
        <rFont val="Noto Sans CJK SC"/>
        <family val="2"/>
      </rPr>
      <t xml:space="preserve">南亚新材
</t>
    </r>
    <r>
      <rPr>
        <b val="true"/>
        <sz val="11"/>
        <color rgb="FFFFFFFF"/>
        <rFont val="Arial"/>
        <family val="0"/>
        <charset val="1"/>
      </rPr>
      <t xml:space="preserve">sh688519</t>
    </r>
  </si>
  <si>
    <r>
      <rPr>
        <b val="true"/>
        <sz val="11"/>
        <color rgb="FFFFFFFF"/>
        <rFont val="Noto Sans CJK SC"/>
        <family val="2"/>
      </rPr>
      <t xml:space="preserve">景旺电子
</t>
    </r>
    <r>
      <rPr>
        <b val="true"/>
        <sz val="11"/>
        <color rgb="FFFFFFFF"/>
        <rFont val="Arial"/>
        <family val="0"/>
        <charset val="1"/>
      </rPr>
      <t xml:space="preserve">sh603228</t>
    </r>
  </si>
  <si>
    <r>
      <rPr>
        <b val="true"/>
        <sz val="11"/>
        <color rgb="FFFFFFFF"/>
        <rFont val="Noto Sans CJK SC"/>
        <family val="2"/>
      </rPr>
      <t xml:space="preserve">兴森科技
</t>
    </r>
    <r>
      <rPr>
        <b val="true"/>
        <sz val="11"/>
        <color rgb="FFFFFFFF"/>
        <rFont val="Arial"/>
        <family val="0"/>
        <charset val="1"/>
      </rPr>
      <t xml:space="preserve">sz002436</t>
    </r>
  </si>
  <si>
    <r>
      <rPr>
        <b val="true"/>
        <sz val="11"/>
        <color rgb="FFFFFFFF"/>
        <rFont val="Noto Sans CJK SC"/>
        <family val="2"/>
      </rPr>
      <t xml:space="preserve">金安国纪
</t>
    </r>
    <r>
      <rPr>
        <b val="true"/>
        <sz val="11"/>
        <color rgb="FFFFFFFF"/>
        <rFont val="Arial"/>
        <family val="0"/>
        <charset val="1"/>
      </rPr>
      <t xml:space="preserve">sz002636</t>
    </r>
  </si>
  <si>
    <r>
      <rPr>
        <b val="true"/>
        <sz val="11"/>
        <color rgb="FFFFFFFF"/>
        <rFont val="Noto Sans CJK SC"/>
        <family val="2"/>
      </rPr>
      <t xml:space="preserve">东材科技
</t>
    </r>
    <r>
      <rPr>
        <b val="true"/>
        <sz val="11"/>
        <color rgb="FFFFFFFF"/>
        <rFont val="Arial"/>
        <family val="0"/>
        <charset val="1"/>
      </rPr>
      <t xml:space="preserve">sh601208</t>
    </r>
  </si>
  <si>
    <r>
      <rPr>
        <b val="true"/>
        <sz val="11"/>
        <color rgb="FFFFFFFF"/>
        <rFont val="Noto Sans CJK SC"/>
        <family val="2"/>
      </rPr>
      <t xml:space="preserve">菲利华
</t>
    </r>
    <r>
      <rPr>
        <b val="true"/>
        <sz val="11"/>
        <color rgb="FFFFFFFF"/>
        <rFont val="Arial"/>
        <family val="0"/>
        <charset val="1"/>
      </rPr>
      <t xml:space="preserve">sz300395</t>
    </r>
  </si>
  <si>
    <t xml:space="preserve">2026-05-22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</si>
  <si>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</si>
  <si>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</si>
  <si>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</si>
  <si>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</si>
  <si>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</si>
  <si>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</si>
  <si>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</si>
  <si>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</si>
  <si>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</si>
  <si>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</si>
  <si>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</si>
  <si>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</si>
  <si>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</si>
  <si>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</si>
  <si>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</si>
  <si>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2026-06-15</t>
  </si>
  <si>
    <t xml:space="preserve">2026-06-16</t>
  </si>
  <si>
    <t xml:space="preserve">2026-06-17</t>
  </si>
  <si>
    <r>
      <rPr>
        <b val="true"/>
        <sz val="11"/>
        <rFont val="Arial"/>
        <family val="0"/>
        <charset val="1"/>
      </rPr>
      <t xml:space="preserve">MA20 (</t>
    </r>
    <r>
      <rPr>
        <b val="true"/>
        <sz val="11"/>
        <rFont val="Noto Sans CJK SC"/>
        <family val="2"/>
      </rPr>
      <t xml:space="preserve">中线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</si>
  <si>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STD20 (</t>
    </r>
    <r>
      <rPr>
        <b val="true"/>
        <sz val="11"/>
        <rFont val="Noto Sans CJK SC"/>
        <family val="2"/>
      </rPr>
      <t xml:space="preserve">总体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</si>
  <si>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布林上轨 </t>
    </r>
    <r>
      <rPr>
        <b val="true"/>
        <sz val="11"/>
        <rFont val="Arial"/>
        <family val="0"/>
        <charset val="1"/>
      </rPr>
      <t xml:space="preserve">UP</t>
    </r>
  </si>
  <si>
    <r>
      <rPr>
        <b val="true"/>
        <sz val="11"/>
        <rFont val="Noto Sans CJK SC"/>
        <family val="2"/>
      </rPr>
      <t xml:space="preserve">布林下轨 </t>
    </r>
    <r>
      <rPr>
        <b val="true"/>
        <sz val="11"/>
        <rFont val="Arial"/>
        <family val="0"/>
        <charset val="1"/>
      </rPr>
      <t xml:space="preserve">DN</t>
    </r>
  </si>
  <si>
    <r>
      <rPr>
        <b val="true"/>
        <sz val="14"/>
        <rFont val="Arial"/>
        <family val="0"/>
        <charset val="1"/>
      </rPr>
      <t xml:space="preserve">PCB</t>
    </r>
    <r>
      <rPr>
        <b val="true"/>
        <sz val="14"/>
        <rFont val="Noto Sans CJK SC"/>
        <family val="2"/>
      </rPr>
      <t xml:space="preserve">概念股 布林带分析</t>
    </r>
  </si>
  <si>
    <t xml:space="preserve">数据来源：</t>
  </si>
  <si>
    <r>
      <rPr>
        <sz val="11"/>
        <rFont val="Noto Sans CJK SC"/>
        <family val="2"/>
      </rPr>
      <t xml:space="preserve">  • 股票名单：财联社 → 盯盘 → 概念板块 → </t>
    </r>
    <r>
      <rPr>
        <sz val="11"/>
        <rFont val="Arial"/>
        <family val="0"/>
        <charset val="1"/>
      </rPr>
      <t xml:space="preserve">PCB (</t>
    </r>
    <r>
      <rPr>
        <sz val="11"/>
        <rFont val="Noto Sans CJK SC"/>
        <family val="2"/>
      </rPr>
      <t xml:space="preserve">板块代码 </t>
    </r>
    <r>
      <rPr>
        <sz val="11"/>
        <rFont val="Arial"/>
        <family val="0"/>
        <charset val="1"/>
      </rPr>
      <t xml:space="preserve">cls80025)</t>
    </r>
  </si>
  <si>
    <r>
      <rPr>
        <sz val="11"/>
        <rFont val="Noto Sans CJK SC"/>
        <family val="2"/>
      </rPr>
      <t xml:space="preserve">  • 历史</t>
    </r>
    <r>
      <rPr>
        <sz val="11"/>
        <rFont val="Arial"/>
        <family val="0"/>
        <charset val="1"/>
      </rPr>
      <t xml:space="preserve">K</t>
    </r>
    <r>
      <rPr>
        <sz val="11"/>
        <rFont val="Noto Sans CJK SC"/>
        <family val="2"/>
      </rPr>
      <t xml:space="preserve">线：腾讯财经 </t>
    </r>
    <r>
      <rPr>
        <sz val="11"/>
        <rFont val="Arial"/>
        <family val="0"/>
        <charset val="1"/>
      </rPr>
      <t xml:space="preserve">web.ifzq.gtimg.cn </t>
    </r>
    <r>
      <rPr>
        <sz val="11"/>
        <rFont val="Noto Sans CJK SC"/>
        <family val="2"/>
      </rPr>
      <t xml:space="preserve">前复权日线</t>
    </r>
  </si>
  <si>
    <r>
      <rPr>
        <sz val="11"/>
        <rFont val="Noto Sans CJK SC"/>
        <family val="2"/>
      </rPr>
      <t xml:space="preserve">筛选规则：按 流通市值 降序取前 </t>
    </r>
    <r>
      <rPr>
        <sz val="11"/>
        <rFont val="Arial"/>
        <family val="0"/>
        <charset val="1"/>
      </rPr>
      <t xml:space="preserve">20 </t>
    </r>
    <r>
      <rPr>
        <sz val="11"/>
        <rFont val="Noto Sans CJK SC"/>
        <family val="2"/>
      </rPr>
      <t xml:space="preserve">只</t>
    </r>
  </si>
  <si>
    <r>
      <rPr>
        <sz val="11"/>
        <rFont val="Noto Sans CJK SC"/>
        <family val="2"/>
      </rPr>
      <t xml:space="preserve">布林带 </t>
    </r>
    <r>
      <rPr>
        <sz val="11"/>
        <rFont val="Arial"/>
        <family val="0"/>
        <charset val="1"/>
      </rPr>
      <t xml:space="preserve">(Bollinger Bands) </t>
    </r>
    <r>
      <rPr>
        <sz val="11"/>
        <rFont val="Noto Sans CJK SC"/>
        <family val="2"/>
      </rPr>
      <t xml:space="preserve">计算公式：</t>
    </r>
  </si>
  <si>
    <r>
      <rPr>
        <sz val="11"/>
        <rFont val="Noto Sans CJK SC"/>
        <family val="2"/>
      </rPr>
      <t xml:space="preserve">  中轨 </t>
    </r>
    <r>
      <rPr>
        <sz val="11"/>
        <rFont val="Arial"/>
        <family val="0"/>
        <charset val="1"/>
      </rPr>
      <t xml:space="preserve">(MID) = N </t>
    </r>
    <r>
      <rPr>
        <sz val="11"/>
        <rFont val="Noto Sans CJK SC"/>
        <family val="2"/>
      </rPr>
      <t xml:space="preserve">日收盘价简单移动平均</t>
    </r>
  </si>
  <si>
    <r>
      <rPr>
        <sz val="11"/>
        <rFont val="Noto Sans CJK SC"/>
        <family val="2"/>
      </rPr>
      <t xml:space="preserve">  上轨 </t>
    </r>
    <r>
      <rPr>
        <sz val="11"/>
        <rFont val="Arial"/>
        <family val="0"/>
        <charset val="1"/>
      </rPr>
      <t xml:space="preserve">(UP)  = MID + K × σ</t>
    </r>
  </si>
  <si>
    <r>
      <rPr>
        <sz val="11"/>
        <rFont val="Noto Sans CJK SC"/>
        <family val="2"/>
      </rPr>
      <t xml:space="preserve">  下轨 </t>
    </r>
    <r>
      <rPr>
        <sz val="11"/>
        <rFont val="Arial"/>
        <family val="0"/>
        <charset val="1"/>
      </rPr>
      <t xml:space="preserve">(DN)  = MID − K × σ</t>
    </r>
  </si>
  <si>
    <r>
      <rPr>
        <sz val="11"/>
        <rFont val="Noto Sans CJK SC"/>
        <family val="2"/>
      </rPr>
      <t xml:space="preserve">  本表参数：</t>
    </r>
    <r>
      <rPr>
        <sz val="11"/>
        <rFont val="Arial"/>
        <family val="0"/>
        <charset val="1"/>
      </rPr>
      <t xml:space="preserve">N = 20 (</t>
    </r>
    <r>
      <rPr>
        <sz val="11"/>
        <rFont val="Noto Sans CJK SC"/>
        <family val="2"/>
      </rPr>
      <t xml:space="preserve">交易日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，</t>
    </r>
    <r>
      <rPr>
        <sz val="11"/>
        <rFont val="Arial"/>
        <family val="0"/>
        <charset val="1"/>
      </rPr>
      <t xml:space="preserve">K = 2</t>
    </r>
  </si>
  <si>
    <r>
      <rPr>
        <sz val="11"/>
        <rFont val="Arial"/>
        <family val="0"/>
        <charset val="1"/>
      </rPr>
      <t xml:space="preserve">  σ </t>
    </r>
    <r>
      <rPr>
        <sz val="11"/>
        <rFont val="Noto Sans CJK SC"/>
        <family val="2"/>
      </rPr>
      <t xml:space="preserve">使用总体标准差 </t>
    </r>
    <r>
      <rPr>
        <sz val="11"/>
        <rFont val="Arial"/>
        <family val="0"/>
        <charset val="1"/>
      </rPr>
      <t xml:space="preserve">STDEVP / STDEV.P</t>
    </r>
    <r>
      <rPr>
        <sz val="11"/>
        <rFont val="Noto Sans CJK SC"/>
        <family val="2"/>
      </rPr>
      <t xml:space="preserve">（与多数行情软件一致）</t>
    </r>
  </si>
  <si>
    <r>
      <rPr>
        <sz val="11"/>
        <rFont val="Arial"/>
        <family val="0"/>
        <charset val="1"/>
      </rPr>
      <t xml:space="preserve">%B </t>
    </r>
    <r>
      <rPr>
        <sz val="11"/>
        <rFont val="Noto Sans CJK SC"/>
        <family val="2"/>
      </rPr>
      <t xml:space="preserve">指标：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收盘 − </t>
    </r>
    <r>
      <rPr>
        <sz val="11"/>
        <rFont val="Arial"/>
        <family val="0"/>
        <charset val="1"/>
      </rPr>
      <t xml:space="preserve">DN) / (UP − DN)</t>
    </r>
    <r>
      <rPr>
        <sz val="11"/>
        <rFont val="Noto Sans CJK SC"/>
        <family val="2"/>
      </rPr>
      <t xml:space="preserve">，</t>
    </r>
    <r>
      <rPr>
        <sz val="11"/>
        <rFont val="Arial"/>
        <family val="0"/>
        <charset val="1"/>
      </rPr>
      <t xml:space="preserve">&gt;1 </t>
    </r>
    <r>
      <rPr>
        <sz val="11"/>
        <rFont val="Noto Sans CJK SC"/>
        <family val="2"/>
      </rPr>
      <t xml:space="preserve">突破上轨，</t>
    </r>
    <r>
      <rPr>
        <sz val="11"/>
        <rFont val="Arial"/>
        <family val="0"/>
        <charset val="1"/>
      </rPr>
      <t xml:space="preserve">&lt;0 </t>
    </r>
    <r>
      <rPr>
        <sz val="11"/>
        <rFont val="Noto Sans CJK SC"/>
        <family val="2"/>
      </rPr>
      <t xml:space="preserve">跌破下轨</t>
    </r>
  </si>
  <si>
    <r>
      <rPr>
        <sz val="11"/>
        <rFont val="Noto Sans CJK SC"/>
        <family val="2"/>
      </rPr>
      <t xml:space="preserve">数据周期：</t>
    </r>
    <r>
      <rPr>
        <sz val="11"/>
        <rFont val="Arial"/>
        <family val="0"/>
        <charset val="1"/>
      </rPr>
      <t xml:space="preserve">2026-05-22 ~ 2026-06-18</t>
    </r>
    <r>
      <rPr>
        <sz val="11"/>
        <rFont val="Noto Sans CJK SC"/>
        <family val="2"/>
      </rPr>
      <t xml:space="preserve">（共 </t>
    </r>
    <r>
      <rPr>
        <sz val="11"/>
        <rFont val="Arial"/>
        <family val="0"/>
        <charset val="1"/>
      </rPr>
      <t xml:space="preserve">20 </t>
    </r>
    <r>
      <rPr>
        <sz val="11"/>
        <rFont val="Noto Sans CJK SC"/>
        <family val="2"/>
      </rPr>
      <t xml:space="preserve">个交易日）</t>
    </r>
  </si>
  <si>
    <t xml:space="preserve">『汇总』表中所有指标均由『价格数据』表通过公式计算，可直接编辑原始数据自动重算。</t>
  </si>
  <si>
    <t xml:space="preserve">蓝色字体为硬编码原始价格输入（行业惯例），黑色为公式输出。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</si>
</sst>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#,##0.000"/>
    <numFmt numFmtId="167" formatCode="0.00%"/>
    <numFmt numFmtId="168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name val="Noto Sans CJK SC"/>
      <family val="2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11" min="5" style="0" width="12"/>
    <col collapsed="false" customWidth="true" hidden="false" outlineLevel="0" max="12" min="12" style="0" width="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7.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3" t="s">
        <v>12</v>
      </c>
    </row>
    <row r="3" customFormat="false" ht="15" hidden="false" customHeight="false" outlineLevel="0" collapsed="false">
      <c r="A3" s="4" t="n">
        <v>1</v>
      </c>
      <c r="B3" s="5" t="s">
        <v>13</v>
      </c>
      <c r="C3" s="6" t="s">
        <v>14</v>
      </c>
      <c r="D3" s="7" t="n">
        <v>4402.77</v>
      </c>
      <c r="E3" s="4" t="s">
        <v>15</v>
      </c>
      <c r="F3" s="8" t="n">
        <f aca="false">价格数据!B21</f>
        <v>183.87</v>
      </c>
      <c r="G3" s="8" t="n">
        <f aca="false">AVERAGE(价格数据!B2:B21)</f>
        <v>144.555</v>
      </c>
      <c r="H3" s="8" t="n">
        <f aca="false">STDEVP(价格数据!B2:B21)</f>
        <v>19.6322857813348</v>
      </c>
      <c r="I3" s="8" t="n">
        <f aca="false">G3+2*H3</f>
        <v>183.81957156267</v>
      </c>
      <c r="J3" s="8" t="n">
        <f aca="false">G3-2*H3</f>
        <v>105.29042843733</v>
      </c>
      <c r="K3" s="8" t="n">
        <f aca="false">I3-J3</f>
        <v>78.5291431253392</v>
      </c>
      <c r="L3" s="9" t="n">
        <f aca="false">IF((I3-J3)=0,0,(F3-J3)/(I3-J3))</f>
        <v>1.00064216207287</v>
      </c>
    </row>
    <row r="4" customFormat="false" ht="15" hidden="false" customHeight="false" outlineLevel="0" collapsed="false">
      <c r="A4" s="4" t="n">
        <v>2</v>
      </c>
      <c r="B4" s="5" t="s">
        <v>16</v>
      </c>
      <c r="C4" s="6" t="s">
        <v>17</v>
      </c>
      <c r="D4" s="7" t="n">
        <v>3784.66</v>
      </c>
      <c r="E4" s="4" t="s">
        <v>15</v>
      </c>
      <c r="F4" s="8" t="n">
        <f aca="false">价格数据!C21</f>
        <v>273</v>
      </c>
      <c r="G4" s="8" t="n">
        <f aca="false">AVERAGE(价格数据!C2:C21)</f>
        <v>225.2895</v>
      </c>
      <c r="H4" s="8" t="n">
        <f aca="false">STDEVP(价格数据!C2:C21)</f>
        <v>17.8347701064522</v>
      </c>
      <c r="I4" s="8" t="n">
        <f aca="false">G4+2*H4</f>
        <v>260.959040212904</v>
      </c>
      <c r="J4" s="8" t="n">
        <f aca="false">G4-2*H4</f>
        <v>189.619959787096</v>
      </c>
      <c r="K4" s="8" t="n">
        <f aca="false">I4-J4</f>
        <v>71.3390804258087</v>
      </c>
      <c r="L4" s="9" t="n">
        <f aca="false">IF((I4-J4)=0,0,(F4-J4)/(I4-J4))</f>
        <v>1.16878490324273</v>
      </c>
    </row>
    <row r="5" customFormat="false" ht="15" hidden="false" customHeight="false" outlineLevel="0" collapsed="false">
      <c r="A5" s="4" t="n">
        <v>3</v>
      </c>
      <c r="B5" s="5" t="s">
        <v>18</v>
      </c>
      <c r="C5" s="6" t="s">
        <v>19</v>
      </c>
      <c r="D5" s="7" t="n">
        <v>3192.57</v>
      </c>
      <c r="E5" s="4" t="s">
        <v>15</v>
      </c>
      <c r="F5" s="8" t="n">
        <f aca="false">价格数据!D21</f>
        <v>369</v>
      </c>
      <c r="G5" s="8" t="n">
        <f aca="false">AVERAGE(价格数据!D2:D21)</f>
        <v>354.827</v>
      </c>
      <c r="H5" s="8" t="n">
        <f aca="false">STDEVP(价格数据!D2:D21)</f>
        <v>21.0115923004422</v>
      </c>
      <c r="I5" s="8" t="n">
        <f aca="false">G5+2*H5</f>
        <v>396.850184600884</v>
      </c>
      <c r="J5" s="8" t="n">
        <f aca="false">G5-2*H5</f>
        <v>312.803815399116</v>
      </c>
      <c r="K5" s="8" t="n">
        <f aca="false">I5-J5</f>
        <v>84.0463692017686</v>
      </c>
      <c r="L5" s="9" t="n">
        <f aca="false">IF((I5-J5)=0,0,(F5-J5)/(I5-J5))</f>
        <v>0.668633102590965</v>
      </c>
    </row>
    <row r="6" customFormat="false" ht="15" hidden="false" customHeight="false" outlineLevel="0" collapsed="false">
      <c r="A6" s="4" t="n">
        <v>4</v>
      </c>
      <c r="B6" s="5" t="s">
        <v>20</v>
      </c>
      <c r="C6" s="6" t="s">
        <v>21</v>
      </c>
      <c r="D6" s="7" t="n">
        <v>3016.91</v>
      </c>
      <c r="E6" s="4" t="s">
        <v>15</v>
      </c>
      <c r="F6" s="8" t="n">
        <f aca="false">价格数据!E21</f>
        <v>453.8</v>
      </c>
      <c r="G6" s="8" t="n">
        <f aca="false">AVERAGE(价格数据!E2:E21)</f>
        <v>396.238</v>
      </c>
      <c r="H6" s="8" t="n">
        <f aca="false">STDEVP(价格数据!E2:E21)</f>
        <v>21.6403571135044</v>
      </c>
      <c r="I6" s="8" t="n">
        <f aca="false">G6+2*H6</f>
        <v>439.518714227009</v>
      </c>
      <c r="J6" s="8" t="n">
        <f aca="false">G6-2*H6</f>
        <v>352.957285772991</v>
      </c>
      <c r="K6" s="8" t="n">
        <f aca="false">I6-J6</f>
        <v>86.5614284540176</v>
      </c>
      <c r="L6" s="9" t="n">
        <f aca="false">IF((I6-J6)=0,0,(F6-J6)/(I6-J6))</f>
        <v>1.16498440504107</v>
      </c>
    </row>
    <row r="7" customFormat="false" ht="15" hidden="false" customHeight="false" outlineLevel="0" collapsed="false">
      <c r="A7" s="4" t="n">
        <v>5</v>
      </c>
      <c r="B7" s="5" t="s">
        <v>22</v>
      </c>
      <c r="C7" s="6" t="s">
        <v>23</v>
      </c>
      <c r="D7" s="7" t="n">
        <v>2843.84</v>
      </c>
      <c r="E7" s="4" t="s">
        <v>15</v>
      </c>
      <c r="F7" s="8" t="n">
        <f aca="false">价格数据!F21</f>
        <v>147.9</v>
      </c>
      <c r="G7" s="8" t="n">
        <f aca="false">AVERAGE(价格数据!F2:F21)</f>
        <v>132.518</v>
      </c>
      <c r="H7" s="8" t="n">
        <f aca="false">STDEVP(价格数据!F2:F21)</f>
        <v>8.12873212745998</v>
      </c>
      <c r="I7" s="8" t="n">
        <f aca="false">G7+2*H7</f>
        <v>148.77546425492</v>
      </c>
      <c r="J7" s="8" t="n">
        <f aca="false">G7-2*H7</f>
        <v>116.26053574508</v>
      </c>
      <c r="K7" s="8" t="n">
        <f aca="false">I7-J7</f>
        <v>32.5149285098399</v>
      </c>
      <c r="L7" s="9" t="n">
        <f aca="false">IF((I7-J7)=0,0,(F7-J7)/(I7-J7))</f>
        <v>0.973075006003626</v>
      </c>
    </row>
    <row r="8" customFormat="false" ht="15" hidden="false" customHeight="false" outlineLevel="0" collapsed="false">
      <c r="A8" s="4" t="n">
        <v>6</v>
      </c>
      <c r="B8" s="5" t="s">
        <v>24</v>
      </c>
      <c r="C8" s="6" t="s">
        <v>25</v>
      </c>
      <c r="D8" s="7" t="n">
        <v>2769.18</v>
      </c>
      <c r="E8" s="4" t="s">
        <v>15</v>
      </c>
      <c r="F8" s="8" t="n">
        <f aca="false">价格数据!G21</f>
        <v>119.91</v>
      </c>
      <c r="G8" s="8" t="n">
        <f aca="false">AVERAGE(价格数据!G2:G21)</f>
        <v>108.764</v>
      </c>
      <c r="H8" s="8" t="n">
        <f aca="false">STDEVP(价格数据!G2:G21)</f>
        <v>5.28317934581063</v>
      </c>
      <c r="I8" s="8" t="n">
        <f aca="false">G8+2*H8</f>
        <v>119.330358691621</v>
      </c>
      <c r="J8" s="8" t="n">
        <f aca="false">G8-2*H8</f>
        <v>98.1976413083788</v>
      </c>
      <c r="K8" s="8" t="n">
        <f aca="false">I8-J8</f>
        <v>21.1327173832425</v>
      </c>
      <c r="L8" s="9" t="n">
        <f aca="false">IF((I8-J8)=0,0,(F8-J8)/(I8-J8))</f>
        <v>1.02742862159499</v>
      </c>
    </row>
    <row r="9" customFormat="false" ht="15" hidden="false" customHeight="false" outlineLevel="0" collapsed="false">
      <c r="A9" s="4" t="n">
        <v>7</v>
      </c>
      <c r="B9" s="5" t="s">
        <v>26</v>
      </c>
      <c r="C9" s="6" t="s">
        <v>27</v>
      </c>
      <c r="D9" s="7" t="n">
        <v>2267.94</v>
      </c>
      <c r="E9" s="4" t="s">
        <v>15</v>
      </c>
      <c r="F9" s="8" t="n">
        <f aca="false">价格数据!H21</f>
        <v>257.8</v>
      </c>
      <c r="G9" s="8" t="n">
        <f aca="false">AVERAGE(价格数据!H2:H21)</f>
        <v>203.8247</v>
      </c>
      <c r="H9" s="8" t="n">
        <f aca="false">STDEVP(价格数据!H2:H21)</f>
        <v>26.169060917618</v>
      </c>
      <c r="I9" s="8" t="n">
        <f aca="false">G9+2*H9</f>
        <v>256.162821835236</v>
      </c>
      <c r="J9" s="8" t="n">
        <f aca="false">G9-2*H9</f>
        <v>151.486578164764</v>
      </c>
      <c r="K9" s="8" t="n">
        <f aca="false">I9-J9</f>
        <v>104.676243670472</v>
      </c>
      <c r="L9" s="9" t="n">
        <f aca="false">IF((I9-J9)=0,0,(F9-J9)/(I9-J9))</f>
        <v>1.01564039850263</v>
      </c>
    </row>
    <row r="10" customFormat="false" ht="15" hidden="false" customHeight="false" outlineLevel="0" collapsed="false">
      <c r="A10" s="4" t="n">
        <v>8</v>
      </c>
      <c r="B10" s="5" t="s">
        <v>28</v>
      </c>
      <c r="C10" s="6" t="s">
        <v>29</v>
      </c>
      <c r="D10" s="7" t="n">
        <v>2141.68</v>
      </c>
      <c r="E10" s="4" t="s">
        <v>15</v>
      </c>
      <c r="F10" s="8" t="n">
        <f aca="false">价格数据!I21</f>
        <v>53.5</v>
      </c>
      <c r="G10" s="8" t="n">
        <f aca="false">AVERAGE(价格数据!I2:I21)</f>
        <v>41.7155</v>
      </c>
      <c r="H10" s="8" t="n">
        <f aca="false">STDEVP(价格数据!I2:I21)</f>
        <v>5.14556942913027</v>
      </c>
      <c r="I10" s="8" t="n">
        <f aca="false">G10+2*H10</f>
        <v>52.0066388582605</v>
      </c>
      <c r="J10" s="8" t="n">
        <f aca="false">G10-2*H10</f>
        <v>31.4243611417395</v>
      </c>
      <c r="K10" s="8" t="n">
        <f aca="false">I10-J10</f>
        <v>20.5822777165211</v>
      </c>
      <c r="L10" s="9" t="n">
        <f aca="false">IF((I10-J10)=0,0,(F10-J10)/(I10-J10))</f>
        <v>1.07255567932313</v>
      </c>
    </row>
    <row r="11" customFormat="false" ht="15" hidden="false" customHeight="false" outlineLevel="0" collapsed="false">
      <c r="A11" s="4" t="n">
        <v>9</v>
      </c>
      <c r="B11" s="5" t="s">
        <v>30</v>
      </c>
      <c r="C11" s="6" t="s">
        <v>31</v>
      </c>
      <c r="D11" s="7" t="n">
        <v>1658.03</v>
      </c>
      <c r="E11" s="4" t="s">
        <v>15</v>
      </c>
      <c r="F11" s="8" t="n">
        <f aca="false">价格数据!J21</f>
        <v>200</v>
      </c>
      <c r="G11" s="8" t="n">
        <f aca="false">AVERAGE(价格数据!J2:J21)</f>
        <v>125.9725</v>
      </c>
      <c r="H11" s="8" t="n">
        <f aca="false">STDEVP(价格数据!J2:J21)</f>
        <v>30.7723619299852</v>
      </c>
      <c r="I11" s="8" t="n">
        <f aca="false">G11+2*H11</f>
        <v>187.51722385997</v>
      </c>
      <c r="J11" s="8" t="n">
        <f aca="false">G11-2*H11</f>
        <v>64.4277761400297</v>
      </c>
      <c r="K11" s="8" t="n">
        <f aca="false">I11-J11</f>
        <v>123.089447719941</v>
      </c>
      <c r="L11" s="9" t="n">
        <f aca="false">IF((I11-J11)=0,0,(F11-J11)/(I11-J11))</f>
        <v>1.10141223615229</v>
      </c>
    </row>
    <row r="12" customFormat="false" ht="15" hidden="false" customHeight="false" outlineLevel="0" collapsed="false">
      <c r="A12" s="4" t="n">
        <v>10</v>
      </c>
      <c r="B12" s="5" t="s">
        <v>32</v>
      </c>
      <c r="C12" s="6" t="s">
        <v>33</v>
      </c>
      <c r="D12" s="7" t="n">
        <v>1433.05</v>
      </c>
      <c r="E12" s="4" t="s">
        <v>15</v>
      </c>
      <c r="F12" s="8" t="n">
        <f aca="false">价格数据!K21</f>
        <v>337</v>
      </c>
      <c r="G12" s="8" t="n">
        <f aca="false">AVERAGE(价格数据!K2:K21)</f>
        <v>290.548</v>
      </c>
      <c r="H12" s="8" t="n">
        <f aca="false">STDEVP(价格数据!K2:K21)</f>
        <v>19.7065417057382</v>
      </c>
      <c r="I12" s="8" t="n">
        <f aca="false">G12+2*H12</f>
        <v>329.961083411476</v>
      </c>
      <c r="J12" s="8" t="n">
        <f aca="false">G12-2*H12</f>
        <v>251.134916588524</v>
      </c>
      <c r="K12" s="8" t="n">
        <f aca="false">I12-J12</f>
        <v>78.8261668229529</v>
      </c>
      <c r="L12" s="9" t="n">
        <f aca="false">IF((I12-J12)=0,0,(F12-J12)/(I12-J12))</f>
        <v>1.08929670022308</v>
      </c>
    </row>
    <row r="13" customFormat="false" ht="15" hidden="false" customHeight="false" outlineLevel="0" collapsed="false">
      <c r="A13" s="4" t="n">
        <v>11</v>
      </c>
      <c r="B13" s="5" t="s">
        <v>34</v>
      </c>
      <c r="C13" s="6" t="s">
        <v>35</v>
      </c>
      <c r="D13" s="7" t="n">
        <v>1430.84</v>
      </c>
      <c r="E13" s="4" t="s">
        <v>15</v>
      </c>
      <c r="F13" s="8" t="n">
        <f aca="false">价格数据!L21</f>
        <v>98.48</v>
      </c>
      <c r="G13" s="8" t="n">
        <f aca="false">AVERAGE(价格数据!L2:L21)</f>
        <v>73.8945</v>
      </c>
      <c r="H13" s="8" t="n">
        <f aca="false">STDEVP(价格数据!L2:L21)</f>
        <v>10.1185905515541</v>
      </c>
      <c r="I13" s="8" t="n">
        <f aca="false">G13+2*H13</f>
        <v>94.1316811031082</v>
      </c>
      <c r="J13" s="8" t="n">
        <f aca="false">G13-2*H13</f>
        <v>53.6573188968918</v>
      </c>
      <c r="K13" s="8" t="n">
        <f aca="false">I13-J13</f>
        <v>40.4743622062164</v>
      </c>
      <c r="L13" s="9" t="n">
        <f aca="false">IF((I13-J13)=0,0,(F13-J13)/(I13-J13))</f>
        <v>1.10743390778432</v>
      </c>
    </row>
    <row r="14" customFormat="false" ht="15" hidden="false" customHeight="false" outlineLevel="0" collapsed="false">
      <c r="A14" s="4" t="n">
        <v>12</v>
      </c>
      <c r="B14" s="5" t="s">
        <v>36</v>
      </c>
      <c r="C14" s="6" t="s">
        <v>37</v>
      </c>
      <c r="D14" s="7" t="n">
        <v>1351.73</v>
      </c>
      <c r="E14" s="4" t="s">
        <v>15</v>
      </c>
      <c r="F14" s="8" t="n">
        <f aca="false">价格数据!M21</f>
        <v>80.55</v>
      </c>
      <c r="G14" s="8" t="n">
        <f aca="false">AVERAGE(价格数据!M2:M21)</f>
        <v>68.7165</v>
      </c>
      <c r="H14" s="8" t="n">
        <f aca="false">STDEVP(价格数据!M2:M21)</f>
        <v>6.44273643337984</v>
      </c>
      <c r="I14" s="8" t="n">
        <f aca="false">G14+2*H14</f>
        <v>81.6019728667597</v>
      </c>
      <c r="J14" s="8" t="n">
        <f aca="false">G14-2*H14</f>
        <v>55.8310271332403</v>
      </c>
      <c r="K14" s="8" t="n">
        <f aca="false">I14-J14</f>
        <v>25.7709457335194</v>
      </c>
      <c r="L14" s="9" t="n">
        <f aca="false">IF((I14-J14)=0,0,(F14-J14)/(I14-J14))</f>
        <v>0.959179888947909</v>
      </c>
    </row>
    <row r="15" customFormat="false" ht="15" hidden="false" customHeight="false" outlineLevel="0" collapsed="false">
      <c r="A15" s="4" t="n">
        <v>13</v>
      </c>
      <c r="B15" s="5" t="s">
        <v>38</v>
      </c>
      <c r="C15" s="6" t="s">
        <v>39</v>
      </c>
      <c r="D15" s="7" t="n">
        <v>1290.63</v>
      </c>
      <c r="E15" s="4" t="s">
        <v>15</v>
      </c>
      <c r="F15" s="8" t="n">
        <f aca="false">价格数据!N21</f>
        <v>134.9</v>
      </c>
      <c r="G15" s="8" t="n">
        <f aca="false">AVERAGE(价格数据!N2:N21)</f>
        <v>130.405</v>
      </c>
      <c r="H15" s="8" t="n">
        <f aca="false">STDEVP(价格数据!N2:N21)</f>
        <v>7.21372545915077</v>
      </c>
      <c r="I15" s="8" t="n">
        <f aca="false">G15+2*H15</f>
        <v>144.832450918302</v>
      </c>
      <c r="J15" s="8" t="n">
        <f aca="false">G15-2*H15</f>
        <v>115.977549081698</v>
      </c>
      <c r="K15" s="8" t="n">
        <f aca="false">I15-J15</f>
        <v>28.8549018366031</v>
      </c>
      <c r="L15" s="9" t="n">
        <f aca="false">IF((I15-J15)=0,0,(F15-J15)/(I15-J15))</f>
        <v>0.655779424426875</v>
      </c>
    </row>
    <row r="16" customFormat="false" ht="15" hidden="false" customHeight="false" outlineLevel="0" collapsed="false">
      <c r="A16" s="4" t="n">
        <v>14</v>
      </c>
      <c r="B16" s="5" t="s">
        <v>40</v>
      </c>
      <c r="C16" s="6" t="s">
        <v>41</v>
      </c>
      <c r="D16" s="7" t="n">
        <v>1152.07</v>
      </c>
      <c r="E16" s="4" t="s">
        <v>15</v>
      </c>
      <c r="F16" s="8" t="n">
        <f aca="false">价格数据!O21</f>
        <v>138.5</v>
      </c>
      <c r="G16" s="8" t="n">
        <f aca="false">AVERAGE(价格数据!O2:O21)</f>
        <v>126.4785</v>
      </c>
      <c r="H16" s="8" t="n">
        <f aca="false">STDEVP(价格数据!O2:O21)</f>
        <v>10.1574027561183</v>
      </c>
      <c r="I16" s="8" t="n">
        <f aca="false">G16+2*H16</f>
        <v>146.793305512237</v>
      </c>
      <c r="J16" s="8" t="n">
        <f aca="false">G16-2*H16</f>
        <v>106.163694487763</v>
      </c>
      <c r="K16" s="8" t="n">
        <f aca="false">I16-J16</f>
        <v>40.6296110244733</v>
      </c>
      <c r="L16" s="9" t="n">
        <f aca="false">IF((I16-J16)=0,0,(F16-J16)/(I16-J16))</f>
        <v>0.795880263110538</v>
      </c>
    </row>
    <row r="17" customFormat="false" ht="15" hidden="false" customHeight="false" outlineLevel="0" collapsed="false">
      <c r="A17" s="4" t="n">
        <v>15</v>
      </c>
      <c r="B17" s="5" t="s">
        <v>42</v>
      </c>
      <c r="C17" s="6" t="s">
        <v>43</v>
      </c>
      <c r="D17" s="7" t="n">
        <v>933.67</v>
      </c>
      <c r="E17" s="4" t="s">
        <v>15</v>
      </c>
      <c r="F17" s="8" t="n">
        <f aca="false">价格数据!P21</f>
        <v>397</v>
      </c>
      <c r="G17" s="8" t="n">
        <f aca="false">AVERAGE(价格数据!P2:P21)</f>
        <v>269.247</v>
      </c>
      <c r="H17" s="8" t="n">
        <f aca="false">STDEVP(价格数据!P2:P21)</f>
        <v>60.8697044596078</v>
      </c>
      <c r="I17" s="8" t="n">
        <f aca="false">G17+2*H17</f>
        <v>390.986408919216</v>
      </c>
      <c r="J17" s="8" t="n">
        <f aca="false">G17-2*H17</f>
        <v>147.507591080784</v>
      </c>
      <c r="K17" s="8" t="n">
        <f aca="false">I17-J17</f>
        <v>243.478817838431</v>
      </c>
      <c r="L17" s="9" t="n">
        <f aca="false">IF((I17-J17)=0,0,(F17-J17)/(I17-J17))</f>
        <v>1.02469862115387</v>
      </c>
    </row>
    <row r="18" customFormat="false" ht="15" hidden="false" customHeight="false" outlineLevel="0" collapsed="false">
      <c r="A18" s="4" t="n">
        <v>16</v>
      </c>
      <c r="B18" s="5" t="s">
        <v>44</v>
      </c>
      <c r="C18" s="6" t="s">
        <v>45</v>
      </c>
      <c r="D18" s="7" t="n">
        <v>790.98</v>
      </c>
      <c r="E18" s="4" t="s">
        <v>15</v>
      </c>
      <c r="F18" s="8" t="n">
        <f aca="false">价格数据!Q21</f>
        <v>81.06</v>
      </c>
      <c r="G18" s="8" t="n">
        <f aca="false">AVERAGE(价格数据!Q2:Q21)</f>
        <v>77.656</v>
      </c>
      <c r="H18" s="8" t="n">
        <f aca="false">STDEVP(价格数据!Q2:Q21)</f>
        <v>4.9854893440865</v>
      </c>
      <c r="I18" s="8" t="n">
        <f aca="false">G18+2*H18</f>
        <v>87.626978688173</v>
      </c>
      <c r="J18" s="8" t="n">
        <f aca="false">G18-2*H18</f>
        <v>67.685021311827</v>
      </c>
      <c r="K18" s="8" t="n">
        <f aca="false">I18-J18</f>
        <v>19.941957376346</v>
      </c>
      <c r="L18" s="9" t="n">
        <f aca="false">IF((I18-J18)=0,0,(F18-J18)/(I18-J18))</f>
        <v>0.670695380386162</v>
      </c>
    </row>
    <row r="19" customFormat="false" ht="15" hidden="false" customHeight="false" outlineLevel="0" collapsed="false">
      <c r="A19" s="4" t="n">
        <v>17</v>
      </c>
      <c r="B19" s="5" t="s">
        <v>46</v>
      </c>
      <c r="C19" s="6" t="s">
        <v>47</v>
      </c>
      <c r="D19" s="7" t="n">
        <v>790.23</v>
      </c>
      <c r="E19" s="4" t="s">
        <v>15</v>
      </c>
      <c r="F19" s="8" t="n">
        <f aca="false">价格数据!R21</f>
        <v>52.06</v>
      </c>
      <c r="G19" s="8" t="n">
        <f aca="false">AVERAGE(价格数据!R2:R21)</f>
        <v>39.7015</v>
      </c>
      <c r="H19" s="8" t="n">
        <f aca="false">STDEVP(价格数据!R2:R21)</f>
        <v>4.00849008356014</v>
      </c>
      <c r="I19" s="8" t="n">
        <f aca="false">G19+2*H19</f>
        <v>47.7184801671203</v>
      </c>
      <c r="J19" s="8" t="n">
        <f aca="false">G19-2*H19</f>
        <v>31.6845198328797</v>
      </c>
      <c r="K19" s="8" t="n">
        <f aca="false">I19-J19</f>
        <v>16.0339603342406</v>
      </c>
      <c r="L19" s="9" t="n">
        <f aca="false">IF((I19-J19)=0,0,(F19-J19)/(I19-J19))</f>
        <v>1.27077027399203</v>
      </c>
    </row>
    <row r="20" customFormat="false" ht="15" hidden="false" customHeight="false" outlineLevel="0" collapsed="false">
      <c r="A20" s="4" t="n">
        <v>18</v>
      </c>
      <c r="B20" s="5" t="s">
        <v>48</v>
      </c>
      <c r="C20" s="6" t="s">
        <v>49</v>
      </c>
      <c r="D20" s="7" t="n">
        <v>756.26</v>
      </c>
      <c r="E20" s="4" t="s">
        <v>15</v>
      </c>
      <c r="F20" s="8" t="n">
        <f aca="false">价格数据!S21</f>
        <v>104.41</v>
      </c>
      <c r="G20" s="8" t="n">
        <f aca="false">AVERAGE(价格数据!S2:S21)</f>
        <v>67.225</v>
      </c>
      <c r="H20" s="8" t="n">
        <f aca="false">STDEVP(价格数据!S2:S21)</f>
        <v>20.4040847626155</v>
      </c>
      <c r="I20" s="8" t="n">
        <f aca="false">G20+2*H20</f>
        <v>108.033169525231</v>
      </c>
      <c r="J20" s="8" t="n">
        <f aca="false">G20-2*H20</f>
        <v>26.4168304747689</v>
      </c>
      <c r="K20" s="8" t="n">
        <f aca="false">I20-J20</f>
        <v>81.6163390504622</v>
      </c>
      <c r="L20" s="9" t="n">
        <f aca="false">IF((I20-J20)=0,0,(F20-J20)/(I20-J20))</f>
        <v>0.955607301584663</v>
      </c>
    </row>
    <row r="21" customFormat="false" ht="15" hidden="false" customHeight="false" outlineLevel="0" collapsed="false">
      <c r="A21" s="4" t="n">
        <v>19</v>
      </c>
      <c r="B21" s="5" t="s">
        <v>50</v>
      </c>
      <c r="C21" s="6" t="s">
        <v>51</v>
      </c>
      <c r="D21" s="7" t="n">
        <v>755.92</v>
      </c>
      <c r="E21" s="4" t="s">
        <v>15</v>
      </c>
      <c r="F21" s="8" t="n">
        <f aca="false">价格数据!T21</f>
        <v>74.83</v>
      </c>
      <c r="G21" s="8" t="n">
        <f aca="false">AVERAGE(价格数据!T2:T21)</f>
        <v>58.605</v>
      </c>
      <c r="H21" s="8" t="n">
        <f aca="false">STDEVP(价格数据!T2:T21)</f>
        <v>7.55898505091788</v>
      </c>
      <c r="I21" s="8" t="n">
        <f aca="false">G21+2*H21</f>
        <v>73.7229701018358</v>
      </c>
      <c r="J21" s="8" t="n">
        <f aca="false">G21-2*H21</f>
        <v>43.4870298981642</v>
      </c>
      <c r="K21" s="8" t="n">
        <f aca="false">I21-J21</f>
        <v>30.2359402036715</v>
      </c>
      <c r="L21" s="9" t="n">
        <f aca="false">IF((I21-J21)=0,0,(F21-J21)/(I21-J21))</f>
        <v>1.03661304694702</v>
      </c>
    </row>
    <row r="22" customFormat="false" ht="15" hidden="false" customHeight="false" outlineLevel="0" collapsed="false">
      <c r="A22" s="4" t="n">
        <v>20</v>
      </c>
      <c r="B22" s="5" t="s">
        <v>52</v>
      </c>
      <c r="C22" s="6" t="s">
        <v>53</v>
      </c>
      <c r="D22" s="7" t="n">
        <v>695.78</v>
      </c>
      <c r="E22" s="4" t="s">
        <v>15</v>
      </c>
      <c r="F22" s="8" t="n">
        <f aca="false">价格数据!U21</f>
        <v>135.75</v>
      </c>
      <c r="G22" s="8" t="n">
        <f aca="false">AVERAGE(价格数据!U2:U21)</f>
        <v>129.05</v>
      </c>
      <c r="H22" s="8" t="n">
        <f aca="false">STDEVP(价格数据!U2:U21)</f>
        <v>11.1030063496334</v>
      </c>
      <c r="I22" s="8" t="n">
        <f aca="false">G22+2*H22</f>
        <v>151.256012699267</v>
      </c>
      <c r="J22" s="8" t="n">
        <f aca="false">G22-2*H22</f>
        <v>106.843987300733</v>
      </c>
      <c r="K22" s="8" t="n">
        <f aca="false">I22-J22</f>
        <v>44.4120253985337</v>
      </c>
      <c r="L22" s="9" t="n">
        <f aca="false">IF((I22-J22)=0,0,(F22-J22)/(I22-J22))</f>
        <v>0.650860041618845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1" min="2" style="0" width="11"/>
  </cols>
  <sheetData>
    <row r="1" customFormat="false" ht="31.5" hidden="false" customHeight="true" outlineLevel="0" collapsed="false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  <c r="L1" s="11" t="s">
        <v>65</v>
      </c>
      <c r="M1" s="11" t="s">
        <v>66</v>
      </c>
      <c r="N1" s="11" t="s">
        <v>67</v>
      </c>
      <c r="O1" s="11" t="s">
        <v>68</v>
      </c>
      <c r="P1" s="11" t="s">
        <v>69</v>
      </c>
      <c r="Q1" s="11" t="s">
        <v>70</v>
      </c>
      <c r="R1" s="11" t="s">
        <v>71</v>
      </c>
      <c r="S1" s="11" t="s">
        <v>72</v>
      </c>
      <c r="T1" s="11" t="s">
        <v>73</v>
      </c>
      <c r="U1" s="11" t="s">
        <v>74</v>
      </c>
    </row>
    <row r="2" customFormat="false" ht="15" hidden="false" customHeight="false" outlineLevel="0" collapsed="false">
      <c r="A2" s="4" t="s">
        <v>75</v>
      </c>
      <c r="B2" s="12" t="n">
        <v>107.21</v>
      </c>
      <c r="C2" s="12" t="n">
        <v>220.55</v>
      </c>
      <c r="D2" s="12" t="n">
        <v>375.5</v>
      </c>
      <c r="E2" s="12" t="n">
        <v>375.87</v>
      </c>
      <c r="F2" s="12" t="n">
        <v>114.07</v>
      </c>
      <c r="G2" s="12" t="n">
        <v>102.93</v>
      </c>
      <c r="H2" s="12" t="n">
        <v>159.302</v>
      </c>
      <c r="I2" s="12" t="n">
        <v>38.16</v>
      </c>
      <c r="J2" s="12" t="n">
        <v>90.93</v>
      </c>
      <c r="K2" s="12" t="n">
        <v>274</v>
      </c>
      <c r="L2" s="12" t="n">
        <v>62.38</v>
      </c>
      <c r="M2" s="12" t="n">
        <v>70.846</v>
      </c>
      <c r="N2" s="12" t="n">
        <v>146.28</v>
      </c>
      <c r="O2" s="12" t="n">
        <v>107.896</v>
      </c>
      <c r="P2" s="12" t="n">
        <v>201.93</v>
      </c>
      <c r="Q2" s="12" t="n">
        <v>82.5</v>
      </c>
      <c r="R2" s="12" t="n">
        <v>35.39</v>
      </c>
      <c r="S2" s="12" t="n">
        <v>46.145</v>
      </c>
      <c r="T2" s="12" t="n">
        <v>52.45</v>
      </c>
      <c r="U2" s="12" t="n">
        <v>140.15</v>
      </c>
    </row>
    <row r="3" customFormat="false" ht="15" hidden="false" customHeight="false" outlineLevel="0" collapsed="false">
      <c r="A3" s="4" t="s">
        <v>76</v>
      </c>
      <c r="B3" s="12" t="n">
        <v>115.72</v>
      </c>
      <c r="C3" s="12" t="n">
        <v>226.24</v>
      </c>
      <c r="D3" s="12" t="n">
        <v>383.5</v>
      </c>
      <c r="E3" s="12" t="n">
        <v>397.6</v>
      </c>
      <c r="F3" s="12" t="n">
        <v>122.54</v>
      </c>
      <c r="G3" s="12" t="n">
        <v>113.32</v>
      </c>
      <c r="H3" s="12" t="n">
        <v>175.242</v>
      </c>
      <c r="I3" s="12" t="n">
        <v>39.23</v>
      </c>
      <c r="J3" s="12" t="n">
        <v>95.68</v>
      </c>
      <c r="K3" s="12" t="n">
        <v>284.99</v>
      </c>
      <c r="L3" s="12" t="n">
        <v>64.21</v>
      </c>
      <c r="M3" s="12" t="n">
        <v>74.446</v>
      </c>
      <c r="N3" s="12" t="n">
        <v>142.23</v>
      </c>
      <c r="O3" s="12" t="n">
        <v>109.486</v>
      </c>
      <c r="P3" s="12" t="n">
        <v>197.3</v>
      </c>
      <c r="Q3" s="12" t="n">
        <v>86.92</v>
      </c>
      <c r="R3" s="12" t="n">
        <v>38.09</v>
      </c>
      <c r="S3" s="12" t="n">
        <v>45.485</v>
      </c>
      <c r="T3" s="12" t="n">
        <v>53.74</v>
      </c>
      <c r="U3" s="12" t="n">
        <v>151.46</v>
      </c>
    </row>
    <row r="4" customFormat="false" ht="15" hidden="false" customHeight="false" outlineLevel="0" collapsed="false">
      <c r="A4" s="4" t="s">
        <v>77</v>
      </c>
      <c r="B4" s="12" t="n">
        <v>127.37</v>
      </c>
      <c r="C4" s="12" t="n">
        <v>221.2</v>
      </c>
      <c r="D4" s="12" t="n">
        <v>392.95</v>
      </c>
      <c r="E4" s="12" t="n">
        <v>417.1</v>
      </c>
      <c r="F4" s="12" t="n">
        <v>133.36</v>
      </c>
      <c r="G4" s="12" t="n">
        <v>115</v>
      </c>
      <c r="H4" s="12" t="n">
        <v>183.832</v>
      </c>
      <c r="I4" s="12" t="n">
        <v>41.09</v>
      </c>
      <c r="J4" s="12" t="n">
        <v>102.45</v>
      </c>
      <c r="K4" s="12" t="n">
        <v>285.36</v>
      </c>
      <c r="L4" s="12" t="n">
        <v>67.69</v>
      </c>
      <c r="M4" s="12" t="n">
        <v>73.806</v>
      </c>
      <c r="N4" s="12" t="n">
        <v>135.45</v>
      </c>
      <c r="O4" s="12" t="n">
        <v>131.506</v>
      </c>
      <c r="P4" s="12" t="n">
        <v>202.25</v>
      </c>
      <c r="Q4" s="12" t="n">
        <v>87.5</v>
      </c>
      <c r="R4" s="12" t="n">
        <v>38.08</v>
      </c>
      <c r="S4" s="12" t="n">
        <v>47.425</v>
      </c>
      <c r="T4" s="12" t="n">
        <v>53.3</v>
      </c>
      <c r="U4" s="12" t="n">
        <v>148.29</v>
      </c>
    </row>
    <row r="5" customFormat="false" ht="15" hidden="false" customHeight="false" outlineLevel="0" collapsed="false">
      <c r="A5" s="4" t="s">
        <v>78</v>
      </c>
      <c r="B5" s="12" t="n">
        <v>130.96</v>
      </c>
      <c r="C5" s="12" t="n">
        <v>223.37</v>
      </c>
      <c r="D5" s="12" t="n">
        <v>379.3</v>
      </c>
      <c r="E5" s="12" t="n">
        <v>393.65</v>
      </c>
      <c r="F5" s="12" t="n">
        <v>128.29</v>
      </c>
      <c r="G5" s="12" t="n">
        <v>104.91</v>
      </c>
      <c r="H5" s="12" t="n">
        <v>179.852</v>
      </c>
      <c r="I5" s="12" t="n">
        <v>39.53</v>
      </c>
      <c r="J5" s="12" t="n">
        <v>101.92</v>
      </c>
      <c r="K5" s="12" t="n">
        <v>303</v>
      </c>
      <c r="L5" s="12" t="n">
        <v>64.83</v>
      </c>
      <c r="M5" s="12" t="n">
        <v>70.316</v>
      </c>
      <c r="N5" s="12" t="n">
        <v>131.31</v>
      </c>
      <c r="O5" s="12" t="n">
        <v>132.706</v>
      </c>
      <c r="P5" s="12" t="n">
        <v>216.3</v>
      </c>
      <c r="Q5" s="12" t="n">
        <v>82.45</v>
      </c>
      <c r="R5" s="12" t="n">
        <v>36.99</v>
      </c>
      <c r="S5" s="12" t="n">
        <v>48.635</v>
      </c>
      <c r="T5" s="12" t="n">
        <v>52.25</v>
      </c>
      <c r="U5" s="12" t="n">
        <v>139.4</v>
      </c>
    </row>
    <row r="6" customFormat="false" ht="15" hidden="false" customHeight="false" outlineLevel="0" collapsed="false">
      <c r="A6" s="4" t="s">
        <v>79</v>
      </c>
      <c r="B6" s="12" t="n">
        <v>134.84</v>
      </c>
      <c r="C6" s="12" t="n">
        <v>219</v>
      </c>
      <c r="D6" s="12" t="n">
        <v>375.3</v>
      </c>
      <c r="E6" s="12" t="n">
        <v>395.88</v>
      </c>
      <c r="F6" s="12" t="n">
        <v>133.06</v>
      </c>
      <c r="G6" s="12" t="n">
        <v>105</v>
      </c>
      <c r="H6" s="12" t="n">
        <v>197.842</v>
      </c>
      <c r="I6" s="12" t="n">
        <v>43.48</v>
      </c>
      <c r="J6" s="12" t="n">
        <v>119.08</v>
      </c>
      <c r="K6" s="12" t="n">
        <v>294.99</v>
      </c>
      <c r="L6" s="12" t="n">
        <v>68.97</v>
      </c>
      <c r="M6" s="12" t="n">
        <v>76.076</v>
      </c>
      <c r="N6" s="12" t="n">
        <v>135.98</v>
      </c>
      <c r="O6" s="12" t="n">
        <v>138.596</v>
      </c>
      <c r="P6" s="12" t="n">
        <v>233</v>
      </c>
      <c r="Q6" s="12" t="n">
        <v>81.22</v>
      </c>
      <c r="R6" s="12" t="n">
        <v>36.34</v>
      </c>
      <c r="S6" s="12" t="n">
        <v>53.5</v>
      </c>
      <c r="T6" s="12" t="n">
        <v>54.43</v>
      </c>
      <c r="U6" s="12" t="n">
        <v>144.3</v>
      </c>
    </row>
    <row r="7" customFormat="false" ht="15" hidden="false" customHeight="false" outlineLevel="0" collapsed="false">
      <c r="A7" s="4" t="s">
        <v>80</v>
      </c>
      <c r="B7" s="12" t="n">
        <v>139.82</v>
      </c>
      <c r="C7" s="12" t="n">
        <v>213.05</v>
      </c>
      <c r="D7" s="12" t="n">
        <v>368.52</v>
      </c>
      <c r="E7" s="12" t="n">
        <v>411.41</v>
      </c>
      <c r="F7" s="12" t="n">
        <v>132.04</v>
      </c>
      <c r="G7" s="12" t="n">
        <v>104.01</v>
      </c>
      <c r="H7" s="12" t="n">
        <v>202.082</v>
      </c>
      <c r="I7" s="12" t="n">
        <v>42.1</v>
      </c>
      <c r="J7" s="12" t="n">
        <v>114</v>
      </c>
      <c r="K7" s="12" t="n">
        <v>279</v>
      </c>
      <c r="L7" s="12" t="n">
        <v>68</v>
      </c>
      <c r="M7" s="12" t="n">
        <v>71.15</v>
      </c>
      <c r="N7" s="12" t="n">
        <v>131.85</v>
      </c>
      <c r="O7" s="12" t="n">
        <v>137.456</v>
      </c>
      <c r="P7" s="12" t="n">
        <v>239</v>
      </c>
      <c r="Q7" s="12" t="n">
        <v>79.18</v>
      </c>
      <c r="R7" s="12" t="n">
        <v>38.68</v>
      </c>
      <c r="S7" s="12" t="n">
        <v>53.51</v>
      </c>
      <c r="T7" s="12" t="n">
        <v>50</v>
      </c>
      <c r="U7" s="12" t="n">
        <v>133.75</v>
      </c>
    </row>
    <row r="8" customFormat="false" ht="15" hidden="false" customHeight="false" outlineLevel="0" collapsed="false">
      <c r="A8" s="4" t="s">
        <v>81</v>
      </c>
      <c r="B8" s="12" t="n">
        <v>134.83</v>
      </c>
      <c r="C8" s="12" t="n">
        <v>191.75</v>
      </c>
      <c r="D8" s="12" t="n">
        <v>342.35</v>
      </c>
      <c r="E8" s="12" t="n">
        <v>380</v>
      </c>
      <c r="F8" s="12" t="n">
        <v>122.51</v>
      </c>
      <c r="G8" s="12" t="n">
        <v>102.34</v>
      </c>
      <c r="H8" s="12" t="n">
        <v>181.872</v>
      </c>
      <c r="I8" s="12" t="n">
        <v>38.32</v>
      </c>
      <c r="J8" s="12" t="n">
        <v>104.89</v>
      </c>
      <c r="K8" s="12" t="n">
        <v>275.8</v>
      </c>
      <c r="L8" s="12" t="n">
        <v>63.18</v>
      </c>
      <c r="M8" s="12" t="n">
        <v>64.04</v>
      </c>
      <c r="N8" s="12" t="n">
        <v>124.91</v>
      </c>
      <c r="O8" s="12" t="n">
        <v>122.406</v>
      </c>
      <c r="P8" s="12" t="n">
        <v>216.55</v>
      </c>
      <c r="Q8" s="12" t="n">
        <v>72</v>
      </c>
      <c r="R8" s="12" t="n">
        <v>38.62</v>
      </c>
      <c r="S8" s="12" t="n">
        <v>49.87</v>
      </c>
      <c r="T8" s="12" t="n">
        <v>47.79</v>
      </c>
      <c r="U8" s="12" t="n">
        <v>116.44</v>
      </c>
    </row>
    <row r="9" customFormat="false" ht="15" hidden="false" customHeight="false" outlineLevel="0" collapsed="false">
      <c r="A9" s="4" t="s">
        <v>82</v>
      </c>
      <c r="B9" s="12" t="n">
        <v>140.27</v>
      </c>
      <c r="C9" s="12" t="n">
        <v>210.93</v>
      </c>
      <c r="D9" s="12" t="n">
        <v>349.08</v>
      </c>
      <c r="E9" s="12" t="n">
        <v>398.8</v>
      </c>
      <c r="F9" s="12" t="n">
        <v>131</v>
      </c>
      <c r="G9" s="12" t="n">
        <v>110.89</v>
      </c>
      <c r="H9" s="12" t="n">
        <v>198.732</v>
      </c>
      <c r="I9" s="12" t="n">
        <v>38.9</v>
      </c>
      <c r="J9" s="12" t="n">
        <v>103.63</v>
      </c>
      <c r="K9" s="12" t="n">
        <v>279.1</v>
      </c>
      <c r="L9" s="12" t="n">
        <v>66.51</v>
      </c>
      <c r="M9" s="12" t="n">
        <v>65.43</v>
      </c>
      <c r="N9" s="12" t="n">
        <v>127</v>
      </c>
      <c r="O9" s="12" t="n">
        <v>130.956</v>
      </c>
      <c r="P9" s="12" t="n">
        <v>238.92</v>
      </c>
      <c r="Q9" s="12" t="n">
        <v>75.58</v>
      </c>
      <c r="R9" s="12" t="n">
        <v>42.22</v>
      </c>
      <c r="S9" s="12" t="n">
        <v>50.63</v>
      </c>
      <c r="T9" s="12" t="n">
        <v>51.35</v>
      </c>
      <c r="U9" s="12" t="n">
        <v>119.5</v>
      </c>
    </row>
    <row r="10" customFormat="false" ht="15" hidden="false" customHeight="false" outlineLevel="0" collapsed="false">
      <c r="A10" s="4" t="s">
        <v>83</v>
      </c>
      <c r="B10" s="12" t="n">
        <v>140.29</v>
      </c>
      <c r="C10" s="12" t="n">
        <v>223.99</v>
      </c>
      <c r="D10" s="12" t="n">
        <v>353.44</v>
      </c>
      <c r="E10" s="12" t="n">
        <v>382</v>
      </c>
      <c r="F10" s="12" t="n">
        <v>129.8</v>
      </c>
      <c r="G10" s="12" t="n">
        <v>107.3</v>
      </c>
      <c r="H10" s="12" t="n">
        <v>197.302</v>
      </c>
      <c r="I10" s="12" t="n">
        <v>37.91</v>
      </c>
      <c r="J10" s="12" t="n">
        <v>107.4</v>
      </c>
      <c r="K10" s="12" t="n">
        <v>285.99</v>
      </c>
      <c r="L10" s="12" t="n">
        <v>71.71</v>
      </c>
      <c r="M10" s="12" t="n">
        <v>63.62</v>
      </c>
      <c r="N10" s="12" t="n">
        <v>130.6</v>
      </c>
      <c r="O10" s="12" t="n">
        <v>127.796</v>
      </c>
      <c r="P10" s="12" t="n">
        <v>228.7</v>
      </c>
      <c r="Q10" s="12" t="n">
        <v>74.28</v>
      </c>
      <c r="R10" s="12" t="n">
        <v>39.82</v>
      </c>
      <c r="S10" s="12" t="n">
        <v>51.73</v>
      </c>
      <c r="T10" s="12" t="n">
        <v>56.49</v>
      </c>
      <c r="U10" s="12" t="n">
        <v>118.99</v>
      </c>
    </row>
    <row r="11" customFormat="false" ht="15" hidden="false" customHeight="false" outlineLevel="0" collapsed="false">
      <c r="A11" s="4" t="s">
        <v>84</v>
      </c>
      <c r="B11" s="12" t="n">
        <v>143.16</v>
      </c>
      <c r="C11" s="12" t="n">
        <v>237.8</v>
      </c>
      <c r="D11" s="12" t="n">
        <v>366.72</v>
      </c>
      <c r="E11" s="12" t="n">
        <v>393.38</v>
      </c>
      <c r="F11" s="12" t="n">
        <v>140.82</v>
      </c>
      <c r="G11" s="12" t="n">
        <v>110</v>
      </c>
      <c r="H11" s="12" t="n">
        <v>194.942</v>
      </c>
      <c r="I11" s="12" t="n">
        <v>38.39</v>
      </c>
      <c r="J11" s="12" t="n">
        <v>109.75</v>
      </c>
      <c r="K11" s="12" t="n">
        <v>298.8</v>
      </c>
      <c r="L11" s="12" t="n">
        <v>74.33</v>
      </c>
      <c r="M11" s="12" t="n">
        <v>63.8</v>
      </c>
      <c r="N11" s="12" t="n">
        <v>134.65</v>
      </c>
      <c r="O11" s="12" t="n">
        <v>128.006</v>
      </c>
      <c r="P11" s="12" t="n">
        <v>247</v>
      </c>
      <c r="Q11" s="12" t="n">
        <v>75.3</v>
      </c>
      <c r="R11" s="12" t="n">
        <v>40.87</v>
      </c>
      <c r="S11" s="12" t="n">
        <v>54</v>
      </c>
      <c r="T11" s="12" t="n">
        <v>59.6</v>
      </c>
      <c r="U11" s="12" t="n">
        <v>122.08</v>
      </c>
    </row>
    <row r="12" customFormat="false" ht="15" hidden="false" customHeight="false" outlineLevel="0" collapsed="false">
      <c r="A12" s="4" t="s">
        <v>85</v>
      </c>
      <c r="B12" s="12" t="n">
        <v>137.36</v>
      </c>
      <c r="C12" s="12" t="n">
        <v>221.41</v>
      </c>
      <c r="D12" s="12" t="n">
        <v>338.9</v>
      </c>
      <c r="E12" s="12" t="n">
        <v>373</v>
      </c>
      <c r="F12" s="12" t="n">
        <v>133.22</v>
      </c>
      <c r="G12" s="12" t="n">
        <v>105.15</v>
      </c>
      <c r="H12" s="12" t="n">
        <v>195.992</v>
      </c>
      <c r="I12" s="12" t="n">
        <v>36.96</v>
      </c>
      <c r="J12" s="12" t="n">
        <v>111.26</v>
      </c>
      <c r="K12" s="12" t="n">
        <v>277.2</v>
      </c>
      <c r="L12" s="12" t="n">
        <v>70.1</v>
      </c>
      <c r="M12" s="12" t="n">
        <v>62.73</v>
      </c>
      <c r="N12" s="12" t="n">
        <v>127.87</v>
      </c>
      <c r="O12" s="12" t="n">
        <v>117.85</v>
      </c>
      <c r="P12" s="12" t="n">
        <v>236.1</v>
      </c>
      <c r="Q12" s="12" t="n">
        <v>71.33</v>
      </c>
      <c r="R12" s="12" t="n">
        <v>37.9</v>
      </c>
      <c r="S12" s="12" t="n">
        <v>58.16</v>
      </c>
      <c r="T12" s="12" t="n">
        <v>56.76</v>
      </c>
      <c r="U12" s="12" t="n">
        <v>119.23</v>
      </c>
    </row>
    <row r="13" customFormat="false" ht="15" hidden="false" customHeight="false" outlineLevel="0" collapsed="false">
      <c r="A13" s="4" t="s">
        <v>86</v>
      </c>
      <c r="B13" s="12" t="n">
        <v>134.06</v>
      </c>
      <c r="C13" s="12" t="n">
        <v>213</v>
      </c>
      <c r="D13" s="12" t="n">
        <v>314.8</v>
      </c>
      <c r="E13" s="12" t="n">
        <v>369.64</v>
      </c>
      <c r="F13" s="12" t="n">
        <v>137</v>
      </c>
      <c r="G13" s="12" t="n">
        <v>111</v>
      </c>
      <c r="H13" s="12" t="n">
        <v>188.492</v>
      </c>
      <c r="I13" s="12" t="n">
        <v>35.56</v>
      </c>
      <c r="J13" s="12" t="n">
        <v>113.1</v>
      </c>
      <c r="K13" s="12" t="n">
        <v>277.67</v>
      </c>
      <c r="L13" s="12" t="n">
        <v>67.92</v>
      </c>
      <c r="M13" s="12" t="n">
        <v>58.8</v>
      </c>
      <c r="N13" s="12" t="n">
        <v>120.86</v>
      </c>
      <c r="O13" s="12" t="n">
        <v>112.11</v>
      </c>
      <c r="P13" s="12" t="n">
        <v>253.55</v>
      </c>
      <c r="Q13" s="12" t="n">
        <v>68.96</v>
      </c>
      <c r="R13" s="12" t="n">
        <v>37</v>
      </c>
      <c r="S13" s="12" t="n">
        <v>63.98</v>
      </c>
      <c r="T13" s="12" t="n">
        <v>54.2</v>
      </c>
      <c r="U13" s="12" t="n">
        <v>112.38</v>
      </c>
    </row>
    <row r="14" customFormat="false" ht="15" hidden="false" customHeight="false" outlineLevel="0" collapsed="false">
      <c r="A14" s="4" t="s">
        <v>87</v>
      </c>
      <c r="B14" s="12" t="n">
        <v>147.47</v>
      </c>
      <c r="C14" s="12" t="n">
        <v>224.4</v>
      </c>
      <c r="D14" s="12" t="n">
        <v>342.55</v>
      </c>
      <c r="E14" s="12" t="n">
        <v>395.96</v>
      </c>
      <c r="F14" s="12" t="n">
        <v>141.09</v>
      </c>
      <c r="G14" s="12" t="n">
        <v>114.6</v>
      </c>
      <c r="H14" s="12" t="n">
        <v>207.34</v>
      </c>
      <c r="I14" s="12" t="n">
        <v>39.12</v>
      </c>
      <c r="J14" s="12" t="n">
        <v>122.76</v>
      </c>
      <c r="K14" s="12" t="n">
        <v>288.68</v>
      </c>
      <c r="L14" s="12" t="n">
        <v>70.8</v>
      </c>
      <c r="M14" s="12" t="n">
        <v>64.68</v>
      </c>
      <c r="N14" s="12" t="n">
        <v>124.5</v>
      </c>
      <c r="O14" s="12" t="n">
        <v>124.9</v>
      </c>
      <c r="P14" s="12" t="n">
        <v>295</v>
      </c>
      <c r="Q14" s="12" t="n">
        <v>72.21</v>
      </c>
      <c r="R14" s="12" t="n">
        <v>38.15</v>
      </c>
      <c r="S14" s="12" t="n">
        <v>70.38</v>
      </c>
      <c r="T14" s="12" t="n">
        <v>59.62</v>
      </c>
      <c r="U14" s="12" t="n">
        <v>121.33</v>
      </c>
    </row>
    <row r="15" customFormat="false" ht="15" hidden="false" customHeight="false" outlineLevel="0" collapsed="false">
      <c r="A15" s="4" t="s">
        <v>88</v>
      </c>
      <c r="B15" s="12" t="n">
        <v>146.9</v>
      </c>
      <c r="C15" s="12" t="n">
        <v>212.27</v>
      </c>
      <c r="D15" s="12" t="n">
        <v>330.26</v>
      </c>
      <c r="E15" s="12" t="n">
        <v>383.06</v>
      </c>
      <c r="F15" s="12" t="n">
        <v>130.6</v>
      </c>
      <c r="G15" s="12" t="n">
        <v>110.06</v>
      </c>
      <c r="H15" s="12" t="n">
        <v>197.85</v>
      </c>
      <c r="I15" s="12" t="n">
        <v>39.37</v>
      </c>
      <c r="J15" s="12" t="n">
        <v>122.8</v>
      </c>
      <c r="K15" s="12" t="n">
        <v>270.81</v>
      </c>
      <c r="L15" s="12" t="n">
        <v>72.9</v>
      </c>
      <c r="M15" s="12" t="n">
        <v>62.8</v>
      </c>
      <c r="N15" s="12" t="n">
        <v>122.48</v>
      </c>
      <c r="O15" s="12" t="n">
        <v>116.4</v>
      </c>
      <c r="P15" s="12" t="n">
        <v>289.9</v>
      </c>
      <c r="Q15" s="12" t="n">
        <v>75.34</v>
      </c>
      <c r="R15" s="12" t="n">
        <v>37.28</v>
      </c>
      <c r="S15" s="12" t="n">
        <v>77.42</v>
      </c>
      <c r="T15" s="12" t="n">
        <v>62.35</v>
      </c>
      <c r="U15" s="12" t="n">
        <v>121.31</v>
      </c>
    </row>
    <row r="16" customFormat="false" ht="15" hidden="false" customHeight="false" outlineLevel="0" collapsed="false">
      <c r="A16" s="4" t="s">
        <v>89</v>
      </c>
      <c r="B16" s="12" t="n">
        <v>149.73</v>
      </c>
      <c r="C16" s="12" t="n">
        <v>210.99</v>
      </c>
      <c r="D16" s="12" t="n">
        <v>325.48</v>
      </c>
      <c r="E16" s="12" t="n">
        <v>376.16</v>
      </c>
      <c r="F16" s="12" t="n">
        <v>126.91</v>
      </c>
      <c r="G16" s="12" t="n">
        <v>105.5</v>
      </c>
      <c r="H16" s="12" t="n">
        <v>211</v>
      </c>
      <c r="I16" s="12" t="n">
        <v>41.07</v>
      </c>
      <c r="J16" s="12" t="n">
        <v>127.98</v>
      </c>
      <c r="K16" s="12" t="n">
        <v>263.09</v>
      </c>
      <c r="L16" s="12" t="n">
        <v>77.95</v>
      </c>
      <c r="M16" s="12" t="n">
        <v>63.88</v>
      </c>
      <c r="N16" s="12" t="n">
        <v>121.45</v>
      </c>
      <c r="O16" s="12" t="n">
        <v>116.16</v>
      </c>
      <c r="P16" s="12" t="n">
        <v>305.5</v>
      </c>
      <c r="Q16" s="12" t="n">
        <v>75.8</v>
      </c>
      <c r="R16" s="12" t="n">
        <v>36.75</v>
      </c>
      <c r="S16" s="12" t="n">
        <v>84.8</v>
      </c>
      <c r="T16" s="12" t="n">
        <v>61.72</v>
      </c>
      <c r="U16" s="12" t="n">
        <v>124</v>
      </c>
    </row>
    <row r="17" customFormat="false" ht="15" hidden="false" customHeight="false" outlineLevel="0" collapsed="false">
      <c r="A17" s="4" t="s">
        <v>90</v>
      </c>
      <c r="B17" s="12" t="n">
        <v>151.28</v>
      </c>
      <c r="C17" s="12" t="n">
        <v>217.55</v>
      </c>
      <c r="D17" s="12" t="n">
        <v>327.21</v>
      </c>
      <c r="E17" s="12" t="n">
        <v>379.5</v>
      </c>
      <c r="F17" s="12" t="n">
        <v>125.2</v>
      </c>
      <c r="G17" s="12" t="n">
        <v>101.52</v>
      </c>
      <c r="H17" s="12" t="n">
        <v>207.89</v>
      </c>
      <c r="I17" s="12" t="n">
        <v>41.61</v>
      </c>
      <c r="J17" s="12" t="n">
        <v>141.8</v>
      </c>
      <c r="K17" s="12" t="n">
        <v>277</v>
      </c>
      <c r="L17" s="12" t="n">
        <v>79</v>
      </c>
      <c r="M17" s="12" t="n">
        <v>61.92</v>
      </c>
      <c r="N17" s="12" t="n">
        <v>119.12</v>
      </c>
      <c r="O17" s="12" t="n">
        <v>123.65</v>
      </c>
      <c r="P17" s="12" t="n">
        <v>297.19</v>
      </c>
      <c r="Q17" s="12" t="n">
        <v>73.1</v>
      </c>
      <c r="R17" s="12" t="n">
        <v>37.8</v>
      </c>
      <c r="S17" s="12" t="n">
        <v>89.88</v>
      </c>
      <c r="T17" s="12" t="n">
        <v>61.06</v>
      </c>
      <c r="U17" s="12" t="n">
        <v>118.99</v>
      </c>
    </row>
    <row r="18" customFormat="false" ht="15" hidden="false" customHeight="false" outlineLevel="0" collapsed="false">
      <c r="A18" s="4" t="s">
        <v>91</v>
      </c>
      <c r="B18" s="12" t="n">
        <v>166.41</v>
      </c>
      <c r="C18" s="12" t="n">
        <v>239.31</v>
      </c>
      <c r="D18" s="12" t="n">
        <v>344.5</v>
      </c>
      <c r="E18" s="12" t="n">
        <v>399.8</v>
      </c>
      <c r="F18" s="12" t="n">
        <v>133.76</v>
      </c>
      <c r="G18" s="12" t="n">
        <v>104.64</v>
      </c>
      <c r="H18" s="12" t="n">
        <v>228.68</v>
      </c>
      <c r="I18" s="12" t="n">
        <v>45.77</v>
      </c>
      <c r="J18" s="12" t="n">
        <v>170.16</v>
      </c>
      <c r="K18" s="12" t="n">
        <v>304.4</v>
      </c>
      <c r="L18" s="12" t="n">
        <v>86.9</v>
      </c>
      <c r="M18" s="12" t="n">
        <v>68.11</v>
      </c>
      <c r="N18" s="12" t="n">
        <v>124.2</v>
      </c>
      <c r="O18" s="12" t="n">
        <v>133.16</v>
      </c>
      <c r="P18" s="12" t="n">
        <v>338.3</v>
      </c>
      <c r="Q18" s="12" t="n">
        <v>79.48</v>
      </c>
      <c r="R18" s="12" t="n">
        <v>40.09</v>
      </c>
      <c r="S18" s="12" t="n">
        <v>97.34</v>
      </c>
      <c r="T18" s="12" t="n">
        <v>65.22</v>
      </c>
      <c r="U18" s="12" t="n">
        <v>127.32</v>
      </c>
    </row>
    <row r="19" customFormat="false" ht="15" hidden="false" customHeight="false" outlineLevel="0" collapsed="false">
      <c r="A19" s="4" t="s">
        <v>92</v>
      </c>
      <c r="B19" s="12" t="n">
        <v>179.4</v>
      </c>
      <c r="C19" s="12" t="n">
        <v>249.06</v>
      </c>
      <c r="D19" s="12" t="n">
        <v>355.48</v>
      </c>
      <c r="E19" s="12" t="n">
        <v>403.88</v>
      </c>
      <c r="F19" s="12" t="n">
        <v>140.64</v>
      </c>
      <c r="G19" s="12" t="n">
        <v>108.19</v>
      </c>
      <c r="H19" s="12" t="n">
        <v>251.55</v>
      </c>
      <c r="I19" s="12" t="n">
        <v>49.64</v>
      </c>
      <c r="J19" s="12" t="n">
        <v>178.17</v>
      </c>
      <c r="K19" s="12" t="n">
        <v>326</v>
      </c>
      <c r="L19" s="12" t="n">
        <v>92.5</v>
      </c>
      <c r="M19" s="12" t="n">
        <v>74.92</v>
      </c>
      <c r="N19" s="12" t="n">
        <v>136.62</v>
      </c>
      <c r="O19" s="12" t="n">
        <v>138.96</v>
      </c>
      <c r="P19" s="12" t="n">
        <v>356.44</v>
      </c>
      <c r="Q19" s="12" t="n">
        <v>78.15</v>
      </c>
      <c r="R19" s="12" t="n">
        <v>44.1</v>
      </c>
      <c r="S19" s="12" t="n">
        <v>101.49</v>
      </c>
      <c r="T19" s="12" t="n">
        <v>71.74</v>
      </c>
      <c r="U19" s="12" t="n">
        <v>131.45</v>
      </c>
    </row>
    <row r="20" customFormat="false" ht="15" hidden="false" customHeight="false" outlineLevel="0" collapsed="false">
      <c r="A20" s="4" t="s">
        <v>93</v>
      </c>
      <c r="B20" s="12" t="n">
        <v>180.15</v>
      </c>
      <c r="C20" s="12" t="n">
        <v>256.92</v>
      </c>
      <c r="D20" s="12" t="n">
        <v>361.7</v>
      </c>
      <c r="E20" s="12" t="n">
        <v>444.27</v>
      </c>
      <c r="F20" s="12" t="n">
        <v>146.55</v>
      </c>
      <c r="G20" s="12" t="n">
        <v>119.01</v>
      </c>
      <c r="H20" s="12" t="n">
        <v>258.9</v>
      </c>
      <c r="I20" s="12" t="n">
        <v>54.6</v>
      </c>
      <c r="J20" s="12" t="n">
        <v>181.69</v>
      </c>
      <c r="K20" s="12" t="n">
        <v>328.08</v>
      </c>
      <c r="L20" s="12" t="n">
        <v>89.53</v>
      </c>
      <c r="M20" s="12" t="n">
        <v>82.41</v>
      </c>
      <c r="N20" s="12" t="n">
        <v>135.84</v>
      </c>
      <c r="O20" s="12" t="n">
        <v>141.07</v>
      </c>
      <c r="P20" s="12" t="n">
        <v>395.01</v>
      </c>
      <c r="Q20" s="12" t="n">
        <v>80.76</v>
      </c>
      <c r="R20" s="12" t="n">
        <v>47.8</v>
      </c>
      <c r="S20" s="12" t="n">
        <v>95.71</v>
      </c>
      <c r="T20" s="12" t="n">
        <v>73.2</v>
      </c>
      <c r="U20" s="12" t="n">
        <v>134.88</v>
      </c>
    </row>
    <row r="21" customFormat="false" ht="15" hidden="false" customHeight="false" outlineLevel="0" collapsed="false">
      <c r="A21" s="4" t="s">
        <v>15</v>
      </c>
      <c r="B21" s="12" t="n">
        <v>183.87</v>
      </c>
      <c r="C21" s="12" t="n">
        <v>273</v>
      </c>
      <c r="D21" s="12" t="n">
        <v>369</v>
      </c>
      <c r="E21" s="12" t="n">
        <v>453.8</v>
      </c>
      <c r="F21" s="12" t="n">
        <v>147.9</v>
      </c>
      <c r="G21" s="12" t="n">
        <v>119.91</v>
      </c>
      <c r="H21" s="12" t="n">
        <v>257.8</v>
      </c>
      <c r="I21" s="12" t="n">
        <v>53.5</v>
      </c>
      <c r="J21" s="12" t="n">
        <v>200</v>
      </c>
      <c r="K21" s="12" t="n">
        <v>337</v>
      </c>
      <c r="L21" s="12" t="n">
        <v>98.48</v>
      </c>
      <c r="M21" s="12" t="n">
        <v>80.55</v>
      </c>
      <c r="N21" s="12" t="n">
        <v>134.9</v>
      </c>
      <c r="O21" s="12" t="n">
        <v>138.5</v>
      </c>
      <c r="P21" s="12" t="n">
        <v>397</v>
      </c>
      <c r="Q21" s="12" t="n">
        <v>81.06</v>
      </c>
      <c r="R21" s="12" t="n">
        <v>52.06</v>
      </c>
      <c r="S21" s="12" t="n">
        <v>104.41</v>
      </c>
      <c r="T21" s="12" t="n">
        <v>74.83</v>
      </c>
      <c r="U21" s="12" t="n">
        <v>135.75</v>
      </c>
    </row>
    <row r="22" customFormat="false" ht="17.15" hidden="false" customHeight="false" outlineLevel="0" collapsed="false">
      <c r="A22" s="13" t="s">
        <v>94</v>
      </c>
      <c r="B22" s="14" t="n">
        <f aca="false">AVERAGE(B2:B21)</f>
        <v>144.555</v>
      </c>
      <c r="C22" s="14" t="n">
        <f aca="false">AVERAGE(C2:C21)</f>
        <v>225.2895</v>
      </c>
      <c r="D22" s="14" t="n">
        <f aca="false">AVERAGE(D2:D21)</f>
        <v>354.827</v>
      </c>
      <c r="E22" s="14" t="n">
        <f aca="false">AVERAGE(E2:E21)</f>
        <v>396.238</v>
      </c>
      <c r="F22" s="14" t="n">
        <f aca="false">AVERAGE(F2:F21)</f>
        <v>132.518</v>
      </c>
      <c r="G22" s="14" t="n">
        <f aca="false">AVERAGE(G2:G21)</f>
        <v>108.764</v>
      </c>
      <c r="H22" s="14" t="n">
        <f aca="false">AVERAGE(H2:H21)</f>
        <v>203.8247</v>
      </c>
      <c r="I22" s="14" t="n">
        <f aca="false">AVERAGE(I2:I21)</f>
        <v>41.7155</v>
      </c>
      <c r="J22" s="14" t="n">
        <f aca="false">AVERAGE(J2:J21)</f>
        <v>125.9725</v>
      </c>
      <c r="K22" s="14" t="n">
        <f aca="false">AVERAGE(K2:K21)</f>
        <v>290.548</v>
      </c>
      <c r="L22" s="14" t="n">
        <f aca="false">AVERAGE(L2:L21)</f>
        <v>73.8945</v>
      </c>
      <c r="M22" s="14" t="n">
        <f aca="false">AVERAGE(M2:M21)</f>
        <v>68.7165</v>
      </c>
      <c r="N22" s="14" t="n">
        <f aca="false">AVERAGE(N2:N21)</f>
        <v>130.405</v>
      </c>
      <c r="O22" s="14" t="n">
        <f aca="false">AVERAGE(O2:O21)</f>
        <v>126.4785</v>
      </c>
      <c r="P22" s="14" t="n">
        <f aca="false">AVERAGE(P2:P21)</f>
        <v>269.247</v>
      </c>
      <c r="Q22" s="14" t="n">
        <f aca="false">AVERAGE(Q2:Q21)</f>
        <v>77.656</v>
      </c>
      <c r="R22" s="14" t="n">
        <f aca="false">AVERAGE(R2:R21)</f>
        <v>39.7015</v>
      </c>
      <c r="S22" s="14" t="n">
        <f aca="false">AVERAGE(S2:S21)</f>
        <v>67.225</v>
      </c>
      <c r="T22" s="14" t="n">
        <f aca="false">AVERAGE(T2:T21)</f>
        <v>58.605</v>
      </c>
      <c r="U22" s="14" t="n">
        <f aca="false">AVERAGE(U2:U21)</f>
        <v>129.05</v>
      </c>
    </row>
    <row r="23" customFormat="false" ht="17.15" hidden="false" customHeight="false" outlineLevel="0" collapsed="false">
      <c r="A23" s="13" t="s">
        <v>95</v>
      </c>
      <c r="B23" s="14" t="n">
        <f aca="false">STDEVP(B2:B21)</f>
        <v>19.6322857813348</v>
      </c>
      <c r="C23" s="14" t="n">
        <f aca="false">STDEVP(C2:C21)</f>
        <v>17.8347701064522</v>
      </c>
      <c r="D23" s="14" t="n">
        <f aca="false">STDEVP(D2:D21)</f>
        <v>21.0115923004422</v>
      </c>
      <c r="E23" s="14" t="n">
        <f aca="false">STDEVP(E2:E21)</f>
        <v>21.6403571135044</v>
      </c>
      <c r="F23" s="14" t="n">
        <f aca="false">STDEVP(F2:F21)</f>
        <v>8.12873212745998</v>
      </c>
      <c r="G23" s="14" t="n">
        <f aca="false">STDEVP(G2:G21)</f>
        <v>5.28317934581063</v>
      </c>
      <c r="H23" s="14" t="n">
        <f aca="false">STDEVP(H2:H21)</f>
        <v>26.169060917618</v>
      </c>
      <c r="I23" s="14" t="n">
        <f aca="false">STDEVP(I2:I21)</f>
        <v>5.14556942913027</v>
      </c>
      <c r="J23" s="14" t="n">
        <f aca="false">STDEVP(J2:J21)</f>
        <v>30.7723619299852</v>
      </c>
      <c r="K23" s="14" t="n">
        <f aca="false">STDEVP(K2:K21)</f>
        <v>19.7065417057382</v>
      </c>
      <c r="L23" s="14" t="n">
        <f aca="false">STDEVP(L2:L21)</f>
        <v>10.1185905515541</v>
      </c>
      <c r="M23" s="14" t="n">
        <f aca="false">STDEVP(M2:M21)</f>
        <v>6.44273643337984</v>
      </c>
      <c r="N23" s="14" t="n">
        <f aca="false">STDEVP(N2:N21)</f>
        <v>7.21372545915077</v>
      </c>
      <c r="O23" s="14" t="n">
        <f aca="false">STDEVP(O2:O21)</f>
        <v>10.1574027561183</v>
      </c>
      <c r="P23" s="14" t="n">
        <f aca="false">STDEVP(P2:P21)</f>
        <v>60.8697044596078</v>
      </c>
      <c r="Q23" s="14" t="n">
        <f aca="false">STDEVP(Q2:Q21)</f>
        <v>4.9854893440865</v>
      </c>
      <c r="R23" s="14" t="n">
        <f aca="false">STDEVP(R2:R21)</f>
        <v>4.00849008356014</v>
      </c>
      <c r="S23" s="14" t="n">
        <f aca="false">STDEVP(S2:S21)</f>
        <v>20.4040847626155</v>
      </c>
      <c r="T23" s="14" t="n">
        <f aca="false">STDEVP(T2:T21)</f>
        <v>7.55898505091788</v>
      </c>
      <c r="U23" s="14" t="n">
        <f aca="false">STDEVP(U2:U21)</f>
        <v>11.1030063496334</v>
      </c>
    </row>
    <row r="24" customFormat="false" ht="17.15" hidden="false" customHeight="false" outlineLevel="0" collapsed="false">
      <c r="A24" s="15" t="s">
        <v>96</v>
      </c>
      <c r="B24" s="14" t="n">
        <f aca="false">B22+2*B23</f>
        <v>183.81957156267</v>
      </c>
      <c r="C24" s="14" t="n">
        <f aca="false">C22+2*C23</f>
        <v>260.959040212904</v>
      </c>
      <c r="D24" s="14" t="n">
        <f aca="false">D22+2*D23</f>
        <v>396.850184600884</v>
      </c>
      <c r="E24" s="14" t="n">
        <f aca="false">E22+2*E23</f>
        <v>439.518714227009</v>
      </c>
      <c r="F24" s="14" t="n">
        <f aca="false">F22+2*F23</f>
        <v>148.77546425492</v>
      </c>
      <c r="G24" s="14" t="n">
        <f aca="false">G22+2*G23</f>
        <v>119.330358691621</v>
      </c>
      <c r="H24" s="14" t="n">
        <f aca="false">H22+2*H23</f>
        <v>256.162821835236</v>
      </c>
      <c r="I24" s="14" t="n">
        <f aca="false">I22+2*I23</f>
        <v>52.0066388582605</v>
      </c>
      <c r="J24" s="14" t="n">
        <f aca="false">J22+2*J23</f>
        <v>187.51722385997</v>
      </c>
      <c r="K24" s="14" t="n">
        <f aca="false">K22+2*K23</f>
        <v>329.961083411476</v>
      </c>
      <c r="L24" s="14" t="n">
        <f aca="false">L22+2*L23</f>
        <v>94.1316811031082</v>
      </c>
      <c r="M24" s="14" t="n">
        <f aca="false">M22+2*M23</f>
        <v>81.6019728667597</v>
      </c>
      <c r="N24" s="14" t="n">
        <f aca="false">N22+2*N23</f>
        <v>144.832450918302</v>
      </c>
      <c r="O24" s="14" t="n">
        <f aca="false">O22+2*O23</f>
        <v>146.793305512237</v>
      </c>
      <c r="P24" s="14" t="n">
        <f aca="false">P22+2*P23</f>
        <v>390.986408919216</v>
      </c>
      <c r="Q24" s="14" t="n">
        <f aca="false">Q22+2*Q23</f>
        <v>87.626978688173</v>
      </c>
      <c r="R24" s="14" t="n">
        <f aca="false">R22+2*R23</f>
        <v>47.7184801671203</v>
      </c>
      <c r="S24" s="14" t="n">
        <f aca="false">S22+2*S23</f>
        <v>108.033169525231</v>
      </c>
      <c r="T24" s="14" t="n">
        <f aca="false">T22+2*T23</f>
        <v>73.7229701018358</v>
      </c>
      <c r="U24" s="14" t="n">
        <f aca="false">U22+2*U23</f>
        <v>151.256012699267</v>
      </c>
    </row>
    <row r="25" customFormat="false" ht="17.15" hidden="false" customHeight="false" outlineLevel="0" collapsed="false">
      <c r="A25" s="15" t="s">
        <v>97</v>
      </c>
      <c r="B25" s="14" t="n">
        <f aca="false">B22-2*B23</f>
        <v>105.29042843733</v>
      </c>
      <c r="C25" s="14" t="n">
        <f aca="false">C22-2*C23</f>
        <v>189.619959787096</v>
      </c>
      <c r="D25" s="14" t="n">
        <f aca="false">D22-2*D23</f>
        <v>312.803815399116</v>
      </c>
      <c r="E25" s="14" t="n">
        <f aca="false">E22-2*E23</f>
        <v>352.957285772991</v>
      </c>
      <c r="F25" s="14" t="n">
        <f aca="false">F22-2*F23</f>
        <v>116.26053574508</v>
      </c>
      <c r="G25" s="14" t="n">
        <f aca="false">G22-2*G23</f>
        <v>98.1976413083788</v>
      </c>
      <c r="H25" s="14" t="n">
        <f aca="false">H22-2*H23</f>
        <v>151.486578164764</v>
      </c>
      <c r="I25" s="14" t="n">
        <f aca="false">I22-2*I23</f>
        <v>31.4243611417395</v>
      </c>
      <c r="J25" s="14" t="n">
        <f aca="false">J22-2*J23</f>
        <v>64.4277761400297</v>
      </c>
      <c r="K25" s="14" t="n">
        <f aca="false">K22-2*K23</f>
        <v>251.134916588524</v>
      </c>
      <c r="L25" s="14" t="n">
        <f aca="false">L22-2*L23</f>
        <v>53.6573188968918</v>
      </c>
      <c r="M25" s="14" t="n">
        <f aca="false">M22-2*M23</f>
        <v>55.8310271332403</v>
      </c>
      <c r="N25" s="14" t="n">
        <f aca="false">N22-2*N23</f>
        <v>115.977549081698</v>
      </c>
      <c r="O25" s="14" t="n">
        <f aca="false">O22-2*O23</f>
        <v>106.163694487763</v>
      </c>
      <c r="P25" s="14" t="n">
        <f aca="false">P22-2*P23</f>
        <v>147.507591080784</v>
      </c>
      <c r="Q25" s="14" t="n">
        <f aca="false">Q22-2*Q23</f>
        <v>67.685021311827</v>
      </c>
      <c r="R25" s="14" t="n">
        <f aca="false">R22-2*R23</f>
        <v>31.6845198328797</v>
      </c>
      <c r="S25" s="14" t="n">
        <f aca="false">S22-2*S23</f>
        <v>26.4168304747689</v>
      </c>
      <c r="T25" s="14" t="n">
        <f aca="false">T22-2*T23</f>
        <v>43.4870298981642</v>
      </c>
      <c r="U25" s="14" t="n">
        <f aca="false">U22-2*U23</f>
        <v>106.843987300733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</cols>
  <sheetData>
    <row r="1" customFormat="false" ht="21.6" hidden="false" customHeight="false" outlineLevel="0" collapsed="false">
      <c r="A1" s="16" t="s">
        <v>98</v>
      </c>
    </row>
    <row r="2" customFormat="false" ht="15" hidden="false" customHeight="false" outlineLevel="0" collapsed="false">
      <c r="A2" s="5"/>
    </row>
    <row r="3" customFormat="false" ht="15" hidden="false" customHeight="false" outlineLevel="0" collapsed="false">
      <c r="A3" s="6" t="s">
        <v>99</v>
      </c>
    </row>
    <row r="4" customFormat="false" ht="17.15" hidden="false" customHeight="false" outlineLevel="0" collapsed="false">
      <c r="A4" s="6" t="s">
        <v>100</v>
      </c>
    </row>
    <row r="5" customFormat="false" ht="17.15" hidden="false" customHeight="false" outlineLevel="0" collapsed="false">
      <c r="A5" s="6" t="s">
        <v>101</v>
      </c>
    </row>
    <row r="6" customFormat="false" ht="15" hidden="false" customHeight="false" outlineLevel="0" collapsed="false">
      <c r="A6" s="5"/>
    </row>
    <row r="7" customFormat="false" ht="17.15" hidden="false" customHeight="false" outlineLevel="0" collapsed="false">
      <c r="A7" s="6" t="s">
        <v>102</v>
      </c>
    </row>
    <row r="8" customFormat="false" ht="15" hidden="false" customHeight="false" outlineLevel="0" collapsed="false">
      <c r="A8" s="5"/>
    </row>
    <row r="9" customFormat="false" ht="17.15" hidden="false" customHeight="false" outlineLevel="0" collapsed="false">
      <c r="A9" s="6" t="s">
        <v>103</v>
      </c>
    </row>
    <row r="10" customFormat="false" ht="17.15" hidden="false" customHeight="false" outlineLevel="0" collapsed="false">
      <c r="A10" s="6" t="s">
        <v>104</v>
      </c>
    </row>
    <row r="11" customFormat="false" ht="17.15" hidden="false" customHeight="false" outlineLevel="0" collapsed="false">
      <c r="A11" s="6" t="s">
        <v>105</v>
      </c>
    </row>
    <row r="12" customFormat="false" ht="17.15" hidden="false" customHeight="false" outlineLevel="0" collapsed="false">
      <c r="A12" s="6" t="s">
        <v>106</v>
      </c>
    </row>
    <row r="13" customFormat="false" ht="17.15" hidden="false" customHeight="false" outlineLevel="0" collapsed="false">
      <c r="A13" s="6" t="s">
        <v>107</v>
      </c>
    </row>
    <row r="14" customFormat="false" ht="17.15" hidden="false" customHeight="false" outlineLevel="0" collapsed="false">
      <c r="A14" s="5" t="s">
        <v>108</v>
      </c>
    </row>
    <row r="15" customFormat="false" ht="15" hidden="false" customHeight="false" outlineLevel="0" collapsed="false">
      <c r="A15" s="5"/>
    </row>
    <row r="16" customFormat="false" ht="17.15" hidden="false" customHeight="false" outlineLevel="0" collapsed="false">
      <c r="A16" s="5" t="s">
        <v>109</v>
      </c>
    </row>
    <row r="17" customFormat="false" ht="15" hidden="false" customHeight="false" outlineLevel="0" collapsed="false">
      <c r="A17" s="5"/>
    </row>
    <row r="18" customFormat="false" ht="17.15" hidden="false" customHeight="false" outlineLevel="0" collapsed="false">
      <c r="A18" s="6" t="s">
        <v>110</v>
      </c>
    </row>
    <row r="19" customFormat="false" ht="15" hidden="false" customHeight="false" outlineLevel="0" collapsed="false">
      <c r="A19" s="5"/>
    </row>
    <row r="20" customFormat="false" ht="15" hidden="false" customHeight="false" outlineLevel="0" collapsed="false">
      <c r="A20" s="6" t="s">
        <v>111</v>
      </c>
    </row>
    <row r="21" customFormat="false" ht="15" hidden="false" customHeight="false" outlineLevel="0" collapsed="false">
      <c r="A21" s="6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2026-06-21T10:27:01Z</dcterms:created>
  <dc:creator>openpyxl</dc:creator>
  <dc:description/>
  <dc:language>en-US</dc:language>
  <cp:lastModifiedBy/>
  <dcterms:modified xsi:type="dcterms:W3CDTF">2026-06-21T10:27:01Z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